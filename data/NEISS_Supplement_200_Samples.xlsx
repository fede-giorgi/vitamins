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_ev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1"/>
  <sheetViews>
    <sheetView workbookViewId="0">
      <selection activeCell="A1" sqref="A1"/>
    </sheetView>
  </sheetViews>
  <sheetFormatPr baseColWidth="8" defaultRowHeight="15"/>
  <sheetData>
    <row r="1">
      <c r="A1" t="inlineStr">
        <is>
          <t>CPSC_Case_Number</t>
        </is>
      </c>
      <c r="B1" t="inlineStr">
        <is>
          <t>Treatment_Date</t>
        </is>
      </c>
      <c r="C1" t="inlineStr">
        <is>
          <t>Age</t>
        </is>
      </c>
      <c r="D1" t="inlineStr">
        <is>
          <t>Sex</t>
        </is>
      </c>
      <c r="E1" t="inlineStr">
        <is>
          <t>Race</t>
        </is>
      </c>
      <c r="F1" t="inlineStr">
        <is>
          <t>Other_Race</t>
        </is>
      </c>
      <c r="G1" t="inlineStr">
        <is>
          <t>Hispanic</t>
        </is>
      </c>
      <c r="H1" t="inlineStr">
        <is>
          <t>Body_Part</t>
        </is>
      </c>
      <c r="I1" t="inlineStr">
        <is>
          <t>Diagnosis</t>
        </is>
      </c>
      <c r="J1" t="inlineStr">
        <is>
          <t>Other_Diagnosis</t>
        </is>
      </c>
      <c r="K1" t="inlineStr">
        <is>
          <t>Body_Part_2</t>
        </is>
      </c>
      <c r="L1" t="inlineStr">
        <is>
          <t>Diagnosis_2</t>
        </is>
      </c>
      <c r="M1" t="inlineStr">
        <is>
          <t>Other_Diagnosis_2</t>
        </is>
      </c>
      <c r="N1" t="inlineStr">
        <is>
          <t>Disposition</t>
        </is>
      </c>
      <c r="O1" t="inlineStr">
        <is>
          <t>Location</t>
        </is>
      </c>
      <c r="P1" t="inlineStr">
        <is>
          <t>Fire_Involvement</t>
        </is>
      </c>
      <c r="Q1" t="inlineStr">
        <is>
          <t>Product_1</t>
        </is>
      </c>
      <c r="R1" t="inlineStr">
        <is>
          <t>Product_2</t>
        </is>
      </c>
      <c r="S1" t="inlineStr">
        <is>
          <t>Product_3</t>
        </is>
      </c>
      <c r="T1" t="inlineStr">
        <is>
          <t>Alcohol</t>
        </is>
      </c>
      <c r="U1" t="inlineStr">
        <is>
          <t>Drug</t>
        </is>
      </c>
      <c r="V1" t="inlineStr">
        <is>
          <t>Narrative</t>
        </is>
      </c>
      <c r="W1" t="inlineStr">
        <is>
          <t>Stratum</t>
        </is>
      </c>
      <c r="X1" t="inlineStr">
        <is>
          <t>PSU</t>
        </is>
      </c>
      <c r="Y1" t="inlineStr">
        <is>
          <t>Weight</t>
        </is>
      </c>
      <c r="Z1" t="inlineStr">
        <is>
          <t>Ground_Truth</t>
        </is>
      </c>
      <c r="AA1" t="inlineStr">
        <is>
          <t>Ollama_Label</t>
        </is>
      </c>
      <c r="AB1" t="inlineStr">
        <is>
          <t>Ollama_Reason</t>
        </is>
      </c>
    </row>
    <row r="2">
      <c r="A2" t="inlineStr">
        <is>
          <t>80300989</t>
        </is>
      </c>
      <c r="B2" t="inlineStr">
        <is>
          <t>2008-02-28 00:00:00</t>
        </is>
      </c>
      <c r="C2" t="inlineStr">
        <is>
          <t>38</t>
        </is>
      </c>
      <c r="D2" t="inlineStr">
        <is>
          <t>2</t>
        </is>
      </c>
      <c r="E2" t="inlineStr">
        <is>
          <t>0</t>
        </is>
      </c>
      <c r="F2" t="inlineStr"/>
      <c r="G2" t="inlineStr"/>
      <c r="H2" t="inlineStr">
        <is>
          <t>85</t>
        </is>
      </c>
      <c r="I2" t="inlineStr">
        <is>
          <t>68</t>
        </is>
      </c>
      <c r="J2" t="inlineStr"/>
      <c r="K2" t="inlineStr"/>
      <c r="L2" t="inlineStr"/>
      <c r="M2" t="inlineStr"/>
      <c r="N2" t="inlineStr">
        <is>
          <t>1</t>
        </is>
      </c>
      <c r="O2" t="inlineStr">
        <is>
          <t>0</t>
        </is>
      </c>
      <c r="P2" t="inlineStr">
        <is>
          <t>0</t>
        </is>
      </c>
      <c r="Q2" t="inlineStr">
        <is>
          <t>4074</t>
        </is>
      </c>
      <c r="R2" t="inlineStr">
        <is>
          <t>0</t>
        </is>
      </c>
      <c r="S2" t="inlineStr">
        <is>
          <t>0</t>
        </is>
      </c>
      <c r="T2" t="inlineStr"/>
      <c r="U2" t="inlineStr"/>
      <c r="V2" t="inlineStr">
        <is>
          <t>PT FELL ASLEEP IN CHAIR, COCAINE,HEROIN ABUSE</t>
        </is>
      </c>
      <c r="W2" t="inlineStr">
        <is>
          <t>V</t>
        </is>
      </c>
      <c r="X2" t="inlineStr">
        <is>
          <t>25</t>
        </is>
      </c>
      <c r="Y2" t="inlineStr">
        <is>
          <t>14.8152</t>
        </is>
      </c>
      <c r="Z2" t="n">
        <v>0</v>
      </c>
      <c r="AA2" t="n">
        <v>0</v>
      </c>
      <c r="AB2" t="inlineStr">
        <is>
          <t>No mention of vitamins or supplements; narrative mentions illicit substances instead.</t>
        </is>
      </c>
    </row>
    <row r="3">
      <c r="A3" t="inlineStr">
        <is>
          <t>220311817</t>
        </is>
      </c>
      <c r="B3" t="inlineStr">
        <is>
          <t>2022-03-01 00:00:00</t>
        </is>
      </c>
      <c r="C3" t="inlineStr">
        <is>
          <t>2</t>
        </is>
      </c>
      <c r="D3" t="inlineStr">
        <is>
          <t>1</t>
        </is>
      </c>
      <c r="E3" t="inlineStr">
        <is>
          <t>1</t>
        </is>
      </c>
      <c r="F3" t="inlineStr"/>
      <c r="G3" t="inlineStr">
        <is>
          <t>1</t>
        </is>
      </c>
      <c r="H3" t="inlineStr">
        <is>
          <t>85</t>
        </is>
      </c>
      <c r="I3" t="inlineStr">
        <is>
          <t>68</t>
        </is>
      </c>
      <c r="J3" t="inlineStr"/>
      <c r="K3" t="inlineStr">
        <is>
          <t>76</t>
        </is>
      </c>
      <c r="L3" t="inlineStr">
        <is>
          <t>53</t>
        </is>
      </c>
      <c r="M3" t="inlineStr"/>
      <c r="N3" t="inlineStr">
        <is>
          <t>1</t>
        </is>
      </c>
      <c r="O3" t="inlineStr">
        <is>
          <t>1</t>
        </is>
      </c>
      <c r="P3" t="inlineStr">
        <is>
          <t>0</t>
        </is>
      </c>
      <c r="Q3" t="inlineStr">
        <is>
          <t>4057</t>
        </is>
      </c>
      <c r="R3" t="inlineStr">
        <is>
          <t>0</t>
        </is>
      </c>
      <c r="S3" t="inlineStr">
        <is>
          <t>0</t>
        </is>
      </c>
      <c r="T3" t="inlineStr">
        <is>
          <t>0</t>
        </is>
      </c>
      <c r="U3" t="inlineStr">
        <is>
          <t>1</t>
        </is>
      </c>
      <c r="V3" t="inlineStr">
        <is>
          <t>2YOM, WHO BRUISES EASILY, HAS BRUISE ON CHIN AFTER HITTING CHIN ON TABLE 3 DAYS AGO. PT HAS ALSO RECENTLY BEEN ON 2 COURSES OF ANTIBIOTICS CEFDINIR AND *** FOR EAR INFECTIONS. ALSO HAS OTHER BRUISES SCATTERED THROUGHOUT BODY. DX:THROMBOCYTOPENIA.</t>
        </is>
      </c>
      <c r="W3" t="inlineStr">
        <is>
          <t>L</t>
        </is>
      </c>
      <c r="X3" t="inlineStr">
        <is>
          <t>89</t>
        </is>
      </c>
      <c r="Y3" t="inlineStr">
        <is>
          <t>57.5246</t>
        </is>
      </c>
      <c r="Z3" t="n">
        <v>0</v>
      </c>
      <c r="AA3" t="n">
        <v>0</v>
      </c>
      <c r="AB3" t="inlineStr">
        <is>
          <t>No mention of vitamins or supplements, and mentions 'antibiotics' which are medications.</t>
        </is>
      </c>
    </row>
    <row r="4">
      <c r="A4" t="inlineStr">
        <is>
          <t>40507925</t>
        </is>
      </c>
      <c r="B4" t="inlineStr">
        <is>
          <t>2004-04-26 00:00:00</t>
        </is>
      </c>
      <c r="C4" t="inlineStr">
        <is>
          <t>53</t>
        </is>
      </c>
      <c r="D4" t="inlineStr">
        <is>
          <t>2</t>
        </is>
      </c>
      <c r="E4" t="inlineStr">
        <is>
          <t>1</t>
        </is>
      </c>
      <c r="F4" t="inlineStr"/>
      <c r="G4" t="inlineStr"/>
      <c r="H4" t="inlineStr">
        <is>
          <t>85</t>
        </is>
      </c>
      <c r="I4" t="inlineStr">
        <is>
          <t>68</t>
        </is>
      </c>
      <c r="J4" t="inlineStr"/>
      <c r="K4" t="inlineStr"/>
      <c r="L4" t="inlineStr"/>
      <c r="M4" t="inlineStr"/>
      <c r="N4" t="inlineStr">
        <is>
          <t>1</t>
        </is>
      </c>
      <c r="O4" t="inlineStr">
        <is>
          <t>1</t>
        </is>
      </c>
      <c r="P4" t="inlineStr">
        <is>
          <t>0</t>
        </is>
      </c>
      <c r="Q4" t="inlineStr">
        <is>
          <t>1135</t>
        </is>
      </c>
      <c r="R4" t="inlineStr">
        <is>
          <t>0</t>
        </is>
      </c>
      <c r="S4" t="inlineStr">
        <is>
          <t>0</t>
        </is>
      </c>
      <c r="T4" t="inlineStr"/>
      <c r="U4" t="inlineStr"/>
      <c r="V4" t="inlineStr">
        <is>
          <t>SWALLOWED HYDROGEN PEROXIDE ACCIDENTLY (THOUGHT IT WAS BOTTLE OF WATER)</t>
        </is>
      </c>
      <c r="W4" t="inlineStr">
        <is>
          <t>L</t>
        </is>
      </c>
      <c r="X4" t="inlineStr">
        <is>
          <t>3</t>
        </is>
      </c>
      <c r="Y4" t="inlineStr">
        <is>
          <t>58.9999</t>
        </is>
      </c>
      <c r="Z4" t="n">
        <v>0</v>
      </c>
      <c r="AA4" t="n">
        <v>0</v>
      </c>
      <c r="AB4" t="inlineStr">
        <is>
          <t>Hydrogen peroxide is a household chemical/toxin, not a supplement.</t>
        </is>
      </c>
    </row>
    <row r="5">
      <c r="A5" t="inlineStr">
        <is>
          <t>170407884</t>
        </is>
      </c>
      <c r="B5" t="inlineStr">
        <is>
          <t>2017-03-16 00:00:00</t>
        </is>
      </c>
      <c r="C5" t="inlineStr">
        <is>
          <t>223</t>
        </is>
      </c>
      <c r="D5" t="inlineStr">
        <is>
          <t>1</t>
        </is>
      </c>
      <c r="E5" t="inlineStr">
        <is>
          <t>0</t>
        </is>
      </c>
      <c r="F5" t="inlineStr"/>
      <c r="G5" t="inlineStr"/>
      <c r="H5" t="inlineStr">
        <is>
          <t>85</t>
        </is>
      </c>
      <c r="I5" t="inlineStr">
        <is>
          <t>68</t>
        </is>
      </c>
      <c r="J5" t="inlineStr"/>
      <c r="K5" t="inlineStr"/>
      <c r="L5" t="inlineStr"/>
      <c r="M5" t="inlineStr"/>
      <c r="N5" t="inlineStr">
        <is>
          <t>4</t>
        </is>
      </c>
      <c r="O5" t="inlineStr">
        <is>
          <t>0</t>
        </is>
      </c>
      <c r="P5" t="inlineStr">
        <is>
          <t>0</t>
        </is>
      </c>
      <c r="Q5" t="inlineStr">
        <is>
          <t>1931</t>
        </is>
      </c>
      <c r="R5" t="inlineStr">
        <is>
          <t>0</t>
        </is>
      </c>
      <c r="S5" t="inlineStr">
        <is>
          <t>0</t>
        </is>
      </c>
      <c r="T5" t="inlineStr"/>
      <c r="U5" t="inlineStr"/>
      <c r="V5" t="inlineStr">
        <is>
          <t>23 MOM GOT INTO *** , 1/2 TABLET, VOMITED IMMEDIATELY AFTERWARDS, LOW RR, LOW BP.DX; *** INGESTION, ACCIDENTAL, HYPOTENSION-TRANSIENT</t>
        </is>
      </c>
      <c r="W5" t="inlineStr">
        <is>
          <t>C</t>
        </is>
      </c>
      <c r="X5" t="inlineStr">
        <is>
          <t>90</t>
        </is>
      </c>
      <c r="Y5" t="inlineStr">
        <is>
          <t>4.757</t>
        </is>
      </c>
      <c r="Z5" t="n">
        <v>1</v>
      </c>
      <c r="AA5" t="n">
        <v>0</v>
      </c>
      <c r="AB5" t="inlineStr">
        <is>
          <t>No explicit mention of a vitamin or supplement, and '***' is blank in the narrative.</t>
        </is>
      </c>
    </row>
    <row r="6">
      <c r="A6" t="inlineStr">
        <is>
          <t>220249319</t>
        </is>
      </c>
      <c r="B6" t="inlineStr">
        <is>
          <t>2022-02-01 00:00:00</t>
        </is>
      </c>
      <c r="C6" t="inlineStr">
        <is>
          <t>220</t>
        </is>
      </c>
      <c r="D6" t="inlineStr">
        <is>
          <t>2</t>
        </is>
      </c>
      <c r="E6" t="inlineStr">
        <is>
          <t>0</t>
        </is>
      </c>
      <c r="F6" t="inlineStr"/>
      <c r="G6" t="inlineStr">
        <is>
          <t>0</t>
        </is>
      </c>
      <c r="H6" t="inlineStr">
        <is>
          <t>85</t>
        </is>
      </c>
      <c r="I6" t="inlineStr">
        <is>
          <t>68</t>
        </is>
      </c>
      <c r="J6" t="inlineStr"/>
      <c r="K6" t="inlineStr"/>
      <c r="L6" t="inlineStr"/>
      <c r="M6" t="inlineStr"/>
      <c r="N6" t="inlineStr">
        <is>
          <t>5</t>
        </is>
      </c>
      <c r="O6" t="inlineStr">
        <is>
          <t>1</t>
        </is>
      </c>
      <c r="P6" t="inlineStr">
        <is>
          <t>0</t>
        </is>
      </c>
      <c r="Q6" t="inlineStr">
        <is>
          <t>1931</t>
        </is>
      </c>
      <c r="R6" t="inlineStr">
        <is>
          <t>1135</t>
        </is>
      </c>
      <c r="S6" t="inlineStr">
        <is>
          <t>0</t>
        </is>
      </c>
      <c r="T6" t="inlineStr">
        <is>
          <t>0</t>
        </is>
      </c>
      <c r="U6" t="inlineStr">
        <is>
          <t>1</t>
        </is>
      </c>
      <c r="V6" t="inlineStr">
        <is>
          <t>20MOF INGESTED SERTRALINE TABLETS OF MOM ,  FOUND WITH BOTTLE 3-4 TABS FOUND IN HER MOUTH AND SCATTERED AROUND , CHILD HAS BEEN VOMITING. DX: ACCIDENTAL DRUG INGESTION, ACUTE VOMITING</t>
        </is>
      </c>
      <c r="W6" t="inlineStr">
        <is>
          <t>C</t>
        </is>
      </c>
      <c r="X6" t="inlineStr">
        <is>
          <t>20</t>
        </is>
      </c>
      <c r="Y6" t="inlineStr">
        <is>
          <t>6.6676</t>
        </is>
      </c>
      <c r="Z6" t="n">
        <v>1</v>
      </c>
      <c r="AA6" t="n">
        <v>0</v>
      </c>
      <c r="AB6" t="inlineStr">
        <is>
          <t>Sertraline is an OTC medication, not a supplement.</t>
        </is>
      </c>
    </row>
    <row r="7">
      <c r="A7" t="inlineStr">
        <is>
          <t>111239557</t>
        </is>
      </c>
      <c r="B7" t="inlineStr">
        <is>
          <t>2011-12-19 00:00:00</t>
        </is>
      </c>
      <c r="C7" t="inlineStr">
        <is>
          <t>2</t>
        </is>
      </c>
      <c r="D7" t="inlineStr">
        <is>
          <t>1</t>
        </is>
      </c>
      <c r="E7" t="inlineStr">
        <is>
          <t>0</t>
        </is>
      </c>
      <c r="F7" t="inlineStr"/>
      <c r="G7" t="inlineStr"/>
      <c r="H7" t="inlineStr">
        <is>
          <t>85</t>
        </is>
      </c>
      <c r="I7" t="inlineStr">
        <is>
          <t>68</t>
        </is>
      </c>
      <c r="J7" t="inlineStr"/>
      <c r="K7" t="inlineStr"/>
      <c r="L7" t="inlineStr"/>
      <c r="M7" t="inlineStr"/>
      <c r="N7" t="inlineStr">
        <is>
          <t>4</t>
        </is>
      </c>
      <c r="O7" t="inlineStr">
        <is>
          <t>1</t>
        </is>
      </c>
      <c r="P7" t="inlineStr">
        <is>
          <t>0</t>
        </is>
      </c>
      <c r="Q7" t="inlineStr">
        <is>
          <t>1931</t>
        </is>
      </c>
      <c r="R7" t="inlineStr">
        <is>
          <t>0</t>
        </is>
      </c>
      <c r="S7" t="inlineStr">
        <is>
          <t>0</t>
        </is>
      </c>
      <c r="T7" t="inlineStr"/>
      <c r="U7" t="inlineStr"/>
      <c r="V7" t="inlineStr">
        <is>
          <t>A 2 YR OLD MALE INGESTED A *** TABLET 12.5 MGDX ACCIDENTAL INGESTION/OVERDOSE</t>
        </is>
      </c>
      <c r="W7" t="inlineStr">
        <is>
          <t>V</t>
        </is>
      </c>
      <c r="X7" t="inlineStr">
        <is>
          <t>58</t>
        </is>
      </c>
      <c r="Y7" t="inlineStr">
        <is>
          <t>16.0885</t>
        </is>
      </c>
      <c r="Z7" t="n">
        <v>1</v>
      </c>
      <c r="AA7" t="n">
        <v>0</v>
      </c>
      <c r="AB7" t="inlineStr">
        <is>
          <t>Mentions 'tablet' without specifying supplement/vitamin content, and does not exclude iron-containing formulation.</t>
        </is>
      </c>
    </row>
    <row r="8">
      <c r="A8" t="inlineStr">
        <is>
          <t>170211324</t>
        </is>
      </c>
      <c r="B8" t="inlineStr">
        <is>
          <t>2017-01-17 00:00:00</t>
        </is>
      </c>
      <c r="C8" t="inlineStr">
        <is>
          <t>15</t>
        </is>
      </c>
      <c r="D8" t="inlineStr">
        <is>
          <t>2</t>
        </is>
      </c>
      <c r="E8" t="inlineStr">
        <is>
          <t>0</t>
        </is>
      </c>
      <c r="F8" t="inlineStr"/>
      <c r="G8" t="inlineStr"/>
      <c r="H8" t="inlineStr">
        <is>
          <t>85</t>
        </is>
      </c>
      <c r="I8" t="inlineStr">
        <is>
          <t>68</t>
        </is>
      </c>
      <c r="J8" t="inlineStr"/>
      <c r="K8" t="inlineStr"/>
      <c r="L8" t="inlineStr"/>
      <c r="M8" t="inlineStr"/>
      <c r="N8" t="inlineStr">
        <is>
          <t>1</t>
        </is>
      </c>
      <c r="O8" t="inlineStr">
        <is>
          <t>8</t>
        </is>
      </c>
      <c r="P8" t="inlineStr">
        <is>
          <t>0</t>
        </is>
      </c>
      <c r="Q8" t="inlineStr">
        <is>
          <t>1294</t>
        </is>
      </c>
      <c r="R8" t="inlineStr">
        <is>
          <t>0</t>
        </is>
      </c>
      <c r="S8" t="inlineStr">
        <is>
          <t>0</t>
        </is>
      </c>
      <c r="T8" t="inlineStr"/>
      <c r="U8" t="inlineStr"/>
      <c r="V8" t="inlineStr">
        <is>
          <t>15 YOF. ALTERED MENTAL STATUS AFTER DRINKING &amp; HOPPING ON THE BLEACHERSAT SCHOOL.ETOH 303 DX:ETOH</t>
        </is>
      </c>
      <c r="W8" t="inlineStr">
        <is>
          <t>M</t>
        </is>
      </c>
      <c r="X8" t="inlineStr">
        <is>
          <t>24</t>
        </is>
      </c>
      <c r="Y8" t="inlineStr">
        <is>
          <t>87.0904</t>
        </is>
      </c>
      <c r="Z8" t="n">
        <v>0</v>
      </c>
      <c r="AA8" t="n">
        <v>0</v>
      </c>
      <c r="AB8" t="inlineStr">
        <is>
          <t>No mention of vitamins or supplements, and the substance 'ETOH' is a medication (alcohol) rather than a supplement.</t>
        </is>
      </c>
    </row>
    <row r="9">
      <c r="A9" t="inlineStr">
        <is>
          <t>120354968</t>
        </is>
      </c>
      <c r="B9" t="inlineStr">
        <is>
          <t>2012-02-15 00:00:00</t>
        </is>
      </c>
      <c r="C9" t="inlineStr">
        <is>
          <t>219</t>
        </is>
      </c>
      <c r="D9" t="inlineStr">
        <is>
          <t>2</t>
        </is>
      </c>
      <c r="E9" t="inlineStr">
        <is>
          <t>0</t>
        </is>
      </c>
      <c r="F9" t="inlineStr"/>
      <c r="G9" t="inlineStr"/>
      <c r="H9" t="inlineStr">
        <is>
          <t>85</t>
        </is>
      </c>
      <c r="I9" t="inlineStr">
        <is>
          <t>68</t>
        </is>
      </c>
      <c r="J9" t="inlineStr"/>
      <c r="K9" t="inlineStr"/>
      <c r="L9" t="inlineStr"/>
      <c r="M9" t="inlineStr"/>
      <c r="N9" t="inlineStr">
        <is>
          <t>1</t>
        </is>
      </c>
      <c r="O9" t="inlineStr">
        <is>
          <t>1</t>
        </is>
      </c>
      <c r="P9" t="inlineStr">
        <is>
          <t>0</t>
        </is>
      </c>
      <c r="Q9" t="inlineStr">
        <is>
          <t>1932</t>
        </is>
      </c>
      <c r="R9" t="inlineStr">
        <is>
          <t>0</t>
        </is>
      </c>
      <c r="S9" t="inlineStr">
        <is>
          <t>0</t>
        </is>
      </c>
      <c r="T9" t="inlineStr"/>
      <c r="U9" t="inlineStr"/>
      <c r="V9" t="inlineStr">
        <is>
          <t>19MOF SWOLLWED 5 *** PILLS, PT SHOWING NO SYMPTOMS, DXPOISONING OF ALLOF BODY</t>
        </is>
      </c>
      <c r="W9" t="inlineStr">
        <is>
          <t>C</t>
        </is>
      </c>
      <c r="X9" t="inlineStr">
        <is>
          <t>32</t>
        </is>
      </c>
      <c r="Y9" t="inlineStr">
        <is>
          <t>5.9179</t>
        </is>
      </c>
      <c r="Z9" t="n">
        <v>1</v>
      </c>
      <c r="AA9" t="n">
        <v>0</v>
      </c>
      <c r="AB9" t="inlineStr">
        <is>
          <t>Mentions 'pills' without specifying supplement or medication; no indication of vitamin/supplement ingestion.</t>
        </is>
      </c>
    </row>
    <row r="10">
      <c r="A10" t="inlineStr">
        <is>
          <t>120458530</t>
        </is>
      </c>
      <c r="B10" t="inlineStr">
        <is>
          <t>2012-04-24 00:00:00</t>
        </is>
      </c>
      <c r="C10" t="inlineStr">
        <is>
          <t>213</t>
        </is>
      </c>
      <c r="D10" t="inlineStr">
        <is>
          <t>2</t>
        </is>
      </c>
      <c r="E10" t="inlineStr">
        <is>
          <t>0</t>
        </is>
      </c>
      <c r="F10" t="inlineStr"/>
      <c r="G10" t="inlineStr"/>
      <c r="H10" t="inlineStr">
        <is>
          <t>85</t>
        </is>
      </c>
      <c r="I10" t="inlineStr">
        <is>
          <t>68</t>
        </is>
      </c>
      <c r="J10" t="inlineStr"/>
      <c r="K10" t="inlineStr"/>
      <c r="L10" t="inlineStr"/>
      <c r="M10" t="inlineStr"/>
      <c r="N10" t="inlineStr">
        <is>
          <t>1</t>
        </is>
      </c>
      <c r="O10" t="inlineStr">
        <is>
          <t>1</t>
        </is>
      </c>
      <c r="P10" t="inlineStr">
        <is>
          <t>0</t>
        </is>
      </c>
      <c r="Q10" t="inlineStr">
        <is>
          <t>1931</t>
        </is>
      </c>
      <c r="R10" t="inlineStr">
        <is>
          <t>0</t>
        </is>
      </c>
      <c r="S10" t="inlineStr">
        <is>
          <t>0</t>
        </is>
      </c>
      <c r="T10" t="inlineStr"/>
      <c r="U10" t="inlineStr"/>
      <c r="V10" t="inlineStr">
        <is>
          <t>13MO OLD F INGESTED **** PILLACCIDENTAL INGESTED</t>
        </is>
      </c>
      <c r="W10" t="inlineStr">
        <is>
          <t>V</t>
        </is>
      </c>
      <c r="X10" t="inlineStr">
        <is>
          <t>17</t>
        </is>
      </c>
      <c r="Y10" t="inlineStr">
        <is>
          <t>16.2344</t>
        </is>
      </c>
      <c r="Z10" t="n">
        <v>1</v>
      </c>
      <c r="AA10" t="n">
        <v>0</v>
      </c>
      <c r="AB10" t="inlineStr">
        <is>
          <t>No explicit mention of vitamin or dietary supplement; ingestion alone does not imply label=1</t>
        </is>
      </c>
    </row>
    <row r="11">
      <c r="A11" t="inlineStr">
        <is>
          <t>190735296</t>
        </is>
      </c>
      <c r="B11" t="inlineStr">
        <is>
          <t>2019-06-28 00:00:00</t>
        </is>
      </c>
      <c r="C11" t="inlineStr">
        <is>
          <t>33</t>
        </is>
      </c>
      <c r="D11" t="inlineStr">
        <is>
          <t>1</t>
        </is>
      </c>
      <c r="E11" t="inlineStr">
        <is>
          <t>1</t>
        </is>
      </c>
      <c r="F11" t="inlineStr"/>
      <c r="G11" t="inlineStr">
        <is>
          <t>2</t>
        </is>
      </c>
      <c r="H11" t="inlineStr">
        <is>
          <t>85</t>
        </is>
      </c>
      <c r="I11" t="inlineStr">
        <is>
          <t>68</t>
        </is>
      </c>
      <c r="J11" t="inlineStr"/>
      <c r="K11" t="inlineStr">
        <is>
          <t>33</t>
        </is>
      </c>
      <c r="L11" t="inlineStr">
        <is>
          <t>59</t>
        </is>
      </c>
      <c r="M11" t="inlineStr"/>
      <c r="N11" t="inlineStr">
        <is>
          <t>2</t>
        </is>
      </c>
      <c r="O11" t="inlineStr">
        <is>
          <t>1</t>
        </is>
      </c>
      <c r="P11" t="inlineStr">
        <is>
          <t>0</t>
        </is>
      </c>
      <c r="Q11" t="inlineStr">
        <is>
          <t>4056</t>
        </is>
      </c>
      <c r="R11" t="inlineStr">
        <is>
          <t>0</t>
        </is>
      </c>
      <c r="S11" t="inlineStr">
        <is>
          <t>0</t>
        </is>
      </c>
      <c r="T11" t="inlineStr">
        <is>
          <t>1</t>
        </is>
      </c>
      <c r="U11" t="inlineStr">
        <is>
          <t>0</t>
        </is>
      </c>
      <c r="V11" t="inlineStr">
        <is>
          <t>33 YOM DRINKING FELL INTO GLASS CABINET. DX ETOH INTOX BAC 250 LOWER ARM LACERATION</t>
        </is>
      </c>
      <c r="W11" t="inlineStr">
        <is>
          <t>S</t>
        </is>
      </c>
      <c r="X11" t="inlineStr">
        <is>
          <t>56</t>
        </is>
      </c>
      <c r="Y11" t="inlineStr">
        <is>
          <t>84.0408</t>
        </is>
      </c>
      <c r="Z11" t="n">
        <v>0</v>
      </c>
      <c r="AA11" t="n">
        <v>0</v>
      </c>
      <c r="AB11" t="inlineStr">
        <is>
          <t>No mention of vitamins or supplements, only household chemical (glass cabinet) and ethanol intoxication.</t>
        </is>
      </c>
    </row>
    <row r="12">
      <c r="A12" t="inlineStr">
        <is>
          <t>70801173</t>
        </is>
      </c>
      <c r="B12" t="inlineStr">
        <is>
          <t>2007-07-30 00:00:00</t>
        </is>
      </c>
      <c r="C12" t="inlineStr">
        <is>
          <t>43</t>
        </is>
      </c>
      <c r="D12" t="inlineStr">
        <is>
          <t>2</t>
        </is>
      </c>
      <c r="E12" t="inlineStr">
        <is>
          <t>0</t>
        </is>
      </c>
      <c r="F12" t="inlineStr"/>
      <c r="G12" t="inlineStr"/>
      <c r="H12" t="inlineStr">
        <is>
          <t>85</t>
        </is>
      </c>
      <c r="I12" t="inlineStr">
        <is>
          <t>68</t>
        </is>
      </c>
      <c r="J12" t="inlineStr"/>
      <c r="K12" t="inlineStr"/>
      <c r="L12" t="inlineStr"/>
      <c r="M12" t="inlineStr"/>
      <c r="N12" t="inlineStr">
        <is>
          <t>1</t>
        </is>
      </c>
      <c r="O12" t="inlineStr">
        <is>
          <t>4</t>
        </is>
      </c>
      <c r="P12" t="inlineStr">
        <is>
          <t>0</t>
        </is>
      </c>
      <c r="Q12" t="inlineStr">
        <is>
          <t>1122</t>
        </is>
      </c>
      <c r="R12" t="inlineStr">
        <is>
          <t>0</t>
        </is>
      </c>
      <c r="S12" t="inlineStr">
        <is>
          <t>0</t>
        </is>
      </c>
      <c r="T12" t="inlineStr"/>
      <c r="U12" t="inlineStr"/>
      <c r="V12" t="inlineStr">
        <is>
          <t>FD HAVING BM IN PUBLIC, 2 BOTTLE OF LIQUR FD NEXT TO HER" ETOH INTOX' BAC=0.174</t>
        </is>
      </c>
      <c r="W12" t="inlineStr">
        <is>
          <t>V</t>
        </is>
      </c>
      <c r="X12" t="inlineStr">
        <is>
          <t>21</t>
        </is>
      </c>
      <c r="Y12" t="inlineStr">
        <is>
          <t>15.1766</t>
        </is>
      </c>
      <c r="Z12" t="n">
        <v>0</v>
      </c>
      <c r="AA12" t="n">
        <v>0</v>
      </c>
      <c r="AB12" t="inlineStr">
        <is>
          <t>No mention of vitamins or supplements; narrative mentions alcohol intoxication.</t>
        </is>
      </c>
    </row>
    <row r="13">
      <c r="A13" t="inlineStr">
        <is>
          <t>40443576</t>
        </is>
      </c>
      <c r="B13" t="inlineStr">
        <is>
          <t>2004-04-14 00:00:00</t>
        </is>
      </c>
      <c r="C13" t="inlineStr">
        <is>
          <t>212</t>
        </is>
      </c>
      <c r="D13" t="inlineStr">
        <is>
          <t>1</t>
        </is>
      </c>
      <c r="E13" t="inlineStr">
        <is>
          <t>0</t>
        </is>
      </c>
      <c r="F13" t="inlineStr"/>
      <c r="G13" t="inlineStr"/>
      <c r="H13" t="inlineStr">
        <is>
          <t>85</t>
        </is>
      </c>
      <c r="I13" t="inlineStr">
        <is>
          <t>68</t>
        </is>
      </c>
      <c r="J13" t="inlineStr"/>
      <c r="K13" t="inlineStr"/>
      <c r="L13" t="inlineStr"/>
      <c r="M13" t="inlineStr"/>
      <c r="N13" t="inlineStr">
        <is>
          <t>1</t>
        </is>
      </c>
      <c r="O13" t="inlineStr">
        <is>
          <t>1</t>
        </is>
      </c>
      <c r="P13" t="inlineStr">
        <is>
          <t>0</t>
        </is>
      </c>
      <c r="Q13" t="inlineStr">
        <is>
          <t>1931</t>
        </is>
      </c>
      <c r="R13" t="inlineStr">
        <is>
          <t>0</t>
        </is>
      </c>
      <c r="S13" t="inlineStr">
        <is>
          <t>0</t>
        </is>
      </c>
      <c r="T13" t="inlineStr"/>
      <c r="U13" t="inlineStr"/>
      <c r="V13" t="inlineStr">
        <is>
          <t>INGESTED BLOOD PRESSURE MEDS: DOXAZOSIN # OF UNKNOWN DX: STABLE AT D/CTX: CHARCOAL</t>
        </is>
      </c>
      <c r="W13" t="inlineStr">
        <is>
          <t>C</t>
        </is>
      </c>
      <c r="X13" t="inlineStr">
        <is>
          <t>37</t>
        </is>
      </c>
      <c r="Y13" t="inlineStr">
        <is>
          <t>6.3776</t>
        </is>
      </c>
      <c r="Z13" t="n">
        <v>1</v>
      </c>
      <c r="AA13" t="n">
        <v>0</v>
      </c>
      <c r="AB13" t="inlineStr">
        <is>
          <t>Mentions 'blood pressure meds' which are prescription medications, not supplements.</t>
        </is>
      </c>
    </row>
    <row r="14">
      <c r="A14" t="inlineStr">
        <is>
          <t>191062161</t>
        </is>
      </c>
      <c r="B14" t="inlineStr">
        <is>
          <t>2019-10-24 00:00:00</t>
        </is>
      </c>
      <c r="C14" t="inlineStr">
        <is>
          <t>222</t>
        </is>
      </c>
      <c r="D14" t="inlineStr">
        <is>
          <t>1</t>
        </is>
      </c>
      <c r="E14" t="inlineStr">
        <is>
          <t>0</t>
        </is>
      </c>
      <c r="F14" t="inlineStr"/>
      <c r="G14" t="inlineStr">
        <is>
          <t>2</t>
        </is>
      </c>
      <c r="H14" t="inlineStr">
        <is>
          <t>85</t>
        </is>
      </c>
      <c r="I14" t="inlineStr">
        <is>
          <t>68</t>
        </is>
      </c>
      <c r="J14" t="inlineStr"/>
      <c r="K14" t="inlineStr"/>
      <c r="L14" t="inlineStr"/>
      <c r="M14" t="inlineStr"/>
      <c r="N14" t="inlineStr">
        <is>
          <t>1</t>
        </is>
      </c>
      <c r="O14" t="inlineStr">
        <is>
          <t>1</t>
        </is>
      </c>
      <c r="P14" t="inlineStr">
        <is>
          <t>0</t>
        </is>
      </c>
      <c r="Q14" t="inlineStr">
        <is>
          <t>5011</t>
        </is>
      </c>
      <c r="R14" t="inlineStr">
        <is>
          <t>1931</t>
        </is>
      </c>
      <c r="S14" t="inlineStr">
        <is>
          <t>0</t>
        </is>
      </c>
      <c r="T14" t="inlineStr">
        <is>
          <t>0</t>
        </is>
      </c>
      <c r="U14" t="inlineStr">
        <is>
          <t>1</t>
        </is>
      </c>
      <c r="V14" t="inlineStr">
        <is>
          <t>22MOM PLAYING IN BACK PACK,GOT INTO IT &amp; INGESTED MELATONIN--DX:ACCIDENTAL POISONING</t>
        </is>
      </c>
      <c r="W14" t="inlineStr">
        <is>
          <t>V</t>
        </is>
      </c>
      <c r="X14" t="inlineStr">
        <is>
          <t>17</t>
        </is>
      </c>
      <c r="Y14" t="inlineStr">
        <is>
          <t>19.55</t>
        </is>
      </c>
      <c r="Z14" t="n">
        <v>1</v>
      </c>
      <c r="AA14" t="n">
        <v>1</v>
      </c>
      <c r="AB14" t="inlineStr">
        <is>
          <t>Mentions 'melatonin' (supplement; no iron) and is explicitly labeled as accidental poisoning.</t>
        </is>
      </c>
    </row>
    <row r="15">
      <c r="A15" t="inlineStr">
        <is>
          <t>90446203</t>
        </is>
      </c>
      <c r="B15" t="inlineStr">
        <is>
          <t>2009-04-18 00:00:00</t>
        </is>
      </c>
      <c r="C15" t="inlineStr">
        <is>
          <t>211</t>
        </is>
      </c>
      <c r="D15" t="inlineStr">
        <is>
          <t>1</t>
        </is>
      </c>
      <c r="E15" t="inlineStr">
        <is>
          <t>3</t>
        </is>
      </c>
      <c r="F15" t="inlineStr">
        <is>
          <t>HISPANIC</t>
        </is>
      </c>
      <c r="G15" t="inlineStr"/>
      <c r="H15" t="inlineStr">
        <is>
          <t>85</t>
        </is>
      </c>
      <c r="I15" t="inlineStr">
        <is>
          <t>68</t>
        </is>
      </c>
      <c r="J15" t="inlineStr"/>
      <c r="K15" t="inlineStr"/>
      <c r="L15" t="inlineStr"/>
      <c r="M15" t="inlineStr"/>
      <c r="N15" t="inlineStr">
        <is>
          <t>1</t>
        </is>
      </c>
      <c r="O15" t="inlineStr">
        <is>
          <t>0</t>
        </is>
      </c>
      <c r="P15" t="inlineStr">
        <is>
          <t>0</t>
        </is>
      </c>
      <c r="Q15" t="inlineStr">
        <is>
          <t>940</t>
        </is>
      </c>
      <c r="R15" t="inlineStr">
        <is>
          <t>1135</t>
        </is>
      </c>
      <c r="S15" t="inlineStr">
        <is>
          <t>0</t>
        </is>
      </c>
      <c r="T15" t="inlineStr"/>
      <c r="U15" t="inlineStr"/>
      <c r="V15" t="inlineStr">
        <is>
          <t>PT WAS FOUND WITH A BOTTLE OF LIGHTER FLUID IN MOUTH POSSIBLE FLUID INGESTION</t>
        </is>
      </c>
      <c r="W15" t="inlineStr">
        <is>
          <t>S</t>
        </is>
      </c>
      <c r="X15" t="inlineStr">
        <is>
          <t>73</t>
        </is>
      </c>
      <c r="Y15" t="inlineStr">
        <is>
          <t>70.8387</t>
        </is>
      </c>
      <c r="Z15" t="n">
        <v>0</v>
      </c>
      <c r="AA15" t="n">
        <v>0</v>
      </c>
      <c r="AB15" t="inlineStr">
        <is>
          <t>Lighter fluid is a household chemical, not a supplement.</t>
        </is>
      </c>
    </row>
    <row r="16">
      <c r="A16" t="inlineStr">
        <is>
          <t>71238138</t>
        </is>
      </c>
      <c r="B16" t="inlineStr">
        <is>
          <t>2007-12-23 00:00:00</t>
        </is>
      </c>
      <c r="C16" t="inlineStr">
        <is>
          <t>2</t>
        </is>
      </c>
      <c r="D16" t="inlineStr">
        <is>
          <t>1</t>
        </is>
      </c>
      <c r="E16" t="inlineStr">
        <is>
          <t>0</t>
        </is>
      </c>
      <c r="F16" t="inlineStr"/>
      <c r="G16" t="inlineStr"/>
      <c r="H16" t="inlineStr">
        <is>
          <t>85</t>
        </is>
      </c>
      <c r="I16" t="inlineStr">
        <is>
          <t>68</t>
        </is>
      </c>
      <c r="J16" t="inlineStr"/>
      <c r="K16" t="inlineStr"/>
      <c r="L16" t="inlineStr"/>
      <c r="M16" t="inlineStr"/>
      <c r="N16" t="inlineStr">
        <is>
          <t>5</t>
        </is>
      </c>
      <c r="O16" t="inlineStr">
        <is>
          <t>1</t>
        </is>
      </c>
      <c r="P16" t="inlineStr">
        <is>
          <t>0</t>
        </is>
      </c>
      <c r="Q16" t="inlineStr">
        <is>
          <t>1932</t>
        </is>
      </c>
      <c r="R16" t="inlineStr">
        <is>
          <t>0</t>
        </is>
      </c>
      <c r="S16" t="inlineStr">
        <is>
          <t>0</t>
        </is>
      </c>
      <c r="T16" t="inlineStr"/>
      <c r="U16" t="inlineStr"/>
      <c r="V16" t="inlineStr">
        <is>
          <t>DRANK COUGH MEDICINE</t>
        </is>
      </c>
      <c r="W16" t="inlineStr">
        <is>
          <t>V</t>
        </is>
      </c>
      <c r="X16" t="inlineStr">
        <is>
          <t>17</t>
        </is>
      </c>
      <c r="Y16" t="inlineStr">
        <is>
          <t>15.8664</t>
        </is>
      </c>
      <c r="Z16" t="n">
        <v>1</v>
      </c>
      <c r="AA16" t="n">
        <v>0</v>
      </c>
      <c r="AB16" t="inlineStr">
        <is>
          <t>Cough medicine is medication, not a supplement.</t>
        </is>
      </c>
    </row>
    <row r="17">
      <c r="A17" t="inlineStr">
        <is>
          <t>100759384</t>
        </is>
      </c>
      <c r="B17" t="inlineStr">
        <is>
          <t>2010-07-18 00:00:00</t>
        </is>
      </c>
      <c r="C17" t="inlineStr">
        <is>
          <t>3</t>
        </is>
      </c>
      <c r="D17" t="inlineStr">
        <is>
          <t>1</t>
        </is>
      </c>
      <c r="E17" t="inlineStr">
        <is>
          <t>1</t>
        </is>
      </c>
      <c r="F17" t="inlineStr"/>
      <c r="G17" t="inlineStr"/>
      <c r="H17" t="inlineStr">
        <is>
          <t>85</t>
        </is>
      </c>
      <c r="I17" t="inlineStr">
        <is>
          <t>68</t>
        </is>
      </c>
      <c r="J17" t="inlineStr"/>
      <c r="K17" t="inlineStr"/>
      <c r="L17" t="inlineStr"/>
      <c r="M17" t="inlineStr"/>
      <c r="N17" t="inlineStr">
        <is>
          <t>4</t>
        </is>
      </c>
      <c r="O17" t="inlineStr">
        <is>
          <t>1</t>
        </is>
      </c>
      <c r="P17" t="inlineStr">
        <is>
          <t>0</t>
        </is>
      </c>
      <c r="Q17" t="inlineStr">
        <is>
          <t>1931</t>
        </is>
      </c>
      <c r="R17" t="inlineStr">
        <is>
          <t>0</t>
        </is>
      </c>
      <c r="S17" t="inlineStr">
        <is>
          <t>0</t>
        </is>
      </c>
      <c r="T17" t="inlineStr"/>
      <c r="U17" t="inlineStr"/>
      <c r="V17" t="inlineStr">
        <is>
          <t>3YOM GOT INTO GLYBURIDE TABLETS AT GRANDMOMS HOUSE POISONING</t>
        </is>
      </c>
      <c r="W17" t="inlineStr">
        <is>
          <t>S</t>
        </is>
      </c>
      <c r="X17" t="inlineStr">
        <is>
          <t>73</t>
        </is>
      </c>
      <c r="Y17" t="inlineStr">
        <is>
          <t>70.275</t>
        </is>
      </c>
      <c r="Z17" t="n">
        <v>1</v>
      </c>
      <c r="AA17" t="n">
        <v>0</v>
      </c>
      <c r="AB17" t="inlineStr">
        <is>
          <t>Glyburide is an OTC medication, not a supplement.</t>
        </is>
      </c>
    </row>
    <row r="18">
      <c r="A18" t="inlineStr">
        <is>
          <t>160352383</t>
        </is>
      </c>
      <c r="B18" t="inlineStr">
        <is>
          <t>2016-02-14 00:00:00</t>
        </is>
      </c>
      <c r="C18" t="inlineStr">
        <is>
          <t>19</t>
        </is>
      </c>
      <c r="D18" t="inlineStr">
        <is>
          <t>1</t>
        </is>
      </c>
      <c r="E18" t="inlineStr">
        <is>
          <t>1</t>
        </is>
      </c>
      <c r="F18" t="inlineStr"/>
      <c r="G18" t="inlineStr"/>
      <c r="H18" t="inlineStr">
        <is>
          <t>85</t>
        </is>
      </c>
      <c r="I18" t="inlineStr">
        <is>
          <t>68</t>
        </is>
      </c>
      <c r="J18" t="inlineStr"/>
      <c r="K18" t="inlineStr"/>
      <c r="L18" t="inlineStr"/>
      <c r="M18" t="inlineStr"/>
      <c r="N18" t="inlineStr">
        <is>
          <t>1</t>
        </is>
      </c>
      <c r="O18" t="inlineStr">
        <is>
          <t>8</t>
        </is>
      </c>
      <c r="P18" t="inlineStr">
        <is>
          <t>0</t>
        </is>
      </c>
      <c r="Q18" t="inlineStr">
        <is>
          <t>1893</t>
        </is>
      </c>
      <c r="R18" t="inlineStr">
        <is>
          <t>0</t>
        </is>
      </c>
      <c r="S18" t="inlineStr">
        <is>
          <t>0</t>
        </is>
      </c>
      <c r="T18" t="inlineStr"/>
      <c r="U18" t="inlineStr"/>
      <c r="V18" t="inlineStr">
        <is>
          <t>INTOXICATION/19YOWM FOUND TO BE INTOXICATED ON COLLEGE CAMPUS. WASSTUMBLING. ALSO STS THAT HE HIT HIS HEAD ON A DOOR EARLIER TONIGHT.</t>
        </is>
      </c>
      <c r="W18" t="inlineStr">
        <is>
          <t>S</t>
        </is>
      </c>
      <c r="X18" t="inlineStr">
        <is>
          <t>43</t>
        </is>
      </c>
      <c r="Y18" t="inlineStr">
        <is>
          <t>87.7206</t>
        </is>
      </c>
      <c r="Z18" t="n">
        <v>0</v>
      </c>
      <c r="AA18" t="n">
        <v>0</v>
      </c>
      <c r="AB18" t="inlineStr">
        <is>
          <t>No mention of vitamins or supplements, only intoxication and physical injury.</t>
        </is>
      </c>
    </row>
    <row r="19">
      <c r="A19" t="inlineStr">
        <is>
          <t>150153571</t>
        </is>
      </c>
      <c r="B19" t="inlineStr">
        <is>
          <t>2015-01-24 00:00:00</t>
        </is>
      </c>
      <c r="C19" t="inlineStr">
        <is>
          <t>217</t>
        </is>
      </c>
      <c r="D19" t="inlineStr">
        <is>
          <t>2</t>
        </is>
      </c>
      <c r="E19" t="inlineStr">
        <is>
          <t>1</t>
        </is>
      </c>
      <c r="F19" t="inlineStr"/>
      <c r="G19" t="inlineStr"/>
      <c r="H19" t="inlineStr">
        <is>
          <t>85</t>
        </is>
      </c>
      <c r="I19" t="inlineStr">
        <is>
          <t>68</t>
        </is>
      </c>
      <c r="J19" t="inlineStr"/>
      <c r="K19" t="inlineStr"/>
      <c r="L19" t="inlineStr"/>
      <c r="M19" t="inlineStr"/>
      <c r="N19" t="inlineStr">
        <is>
          <t>1</t>
        </is>
      </c>
      <c r="O19" t="inlineStr">
        <is>
          <t>1</t>
        </is>
      </c>
      <c r="P19" t="inlineStr">
        <is>
          <t>0</t>
        </is>
      </c>
      <c r="Q19" t="inlineStr">
        <is>
          <t>1932</t>
        </is>
      </c>
      <c r="R19" t="inlineStr">
        <is>
          <t>0</t>
        </is>
      </c>
      <c r="S19" t="inlineStr">
        <is>
          <t>0</t>
        </is>
      </c>
      <c r="T19" t="inlineStr"/>
      <c r="U19" t="inlineStr"/>
      <c r="V19" t="inlineStr">
        <is>
          <t>17 MOF FOUND WITH OPENED E-CIGARETTE AND CONTENTS MISSING, POSSIBLEINGESTION, DX: FOREIGN BODY INGESTION</t>
        </is>
      </c>
      <c r="W19" t="inlineStr">
        <is>
          <t>V</t>
        </is>
      </c>
      <c r="X19" t="inlineStr">
        <is>
          <t>61</t>
        </is>
      </c>
      <c r="Y19" t="inlineStr">
        <is>
          <t>15.0591</t>
        </is>
      </c>
      <c r="Z19" t="n">
        <v>1</v>
      </c>
      <c r="AA19" t="n">
        <v>0</v>
      </c>
      <c r="AB19" t="inlineStr">
        <is>
          <t>No mention of vitamins or supplements; ingestion is a foreign body.</t>
        </is>
      </c>
    </row>
    <row r="20">
      <c r="A20" t="inlineStr">
        <is>
          <t>191242124</t>
        </is>
      </c>
      <c r="B20" t="inlineStr">
        <is>
          <t>2019-12-19 00:00:00</t>
        </is>
      </c>
      <c r="C20" t="inlineStr">
        <is>
          <t>210</t>
        </is>
      </c>
      <c r="D20" t="inlineStr">
        <is>
          <t>2</t>
        </is>
      </c>
      <c r="E20" t="inlineStr">
        <is>
          <t>0</t>
        </is>
      </c>
      <c r="F20" t="inlineStr"/>
      <c r="G20" t="inlineStr">
        <is>
          <t>2</t>
        </is>
      </c>
      <c r="H20" t="inlineStr">
        <is>
          <t>85</t>
        </is>
      </c>
      <c r="I20" t="inlineStr">
        <is>
          <t>68</t>
        </is>
      </c>
      <c r="J20" t="inlineStr"/>
      <c r="K20" t="inlineStr"/>
      <c r="L20" t="inlineStr"/>
      <c r="M20" t="inlineStr"/>
      <c r="N20" t="inlineStr">
        <is>
          <t>1</t>
        </is>
      </c>
      <c r="O20" t="inlineStr">
        <is>
          <t>1</t>
        </is>
      </c>
      <c r="P20" t="inlineStr">
        <is>
          <t>0</t>
        </is>
      </c>
      <c r="Q20" t="inlineStr">
        <is>
          <t>1913</t>
        </is>
      </c>
      <c r="R20" t="inlineStr">
        <is>
          <t>0</t>
        </is>
      </c>
      <c r="S20" t="inlineStr">
        <is>
          <t>0</t>
        </is>
      </c>
      <c r="T20" t="inlineStr">
        <is>
          <t>0</t>
        </is>
      </c>
      <c r="U20" t="inlineStr">
        <is>
          <t>0</t>
        </is>
      </c>
      <c r="V20" t="inlineStr">
        <is>
          <t>10MOF INGESTED NAIL POLISH--DX:ACCIDENTAL POISONING</t>
        </is>
      </c>
      <c r="W20" t="inlineStr">
        <is>
          <t>V</t>
        </is>
      </c>
      <c r="X20" t="inlineStr">
        <is>
          <t>17</t>
        </is>
      </c>
      <c r="Y20" t="inlineStr">
        <is>
          <t>17.3778</t>
        </is>
      </c>
      <c r="Z20" t="n">
        <v>0</v>
      </c>
      <c r="AA20" t="n">
        <v>0</v>
      </c>
      <c r="AB20" t="inlineStr">
        <is>
          <t>Nail polish is a household chemical/toxin, not a supplement.</t>
        </is>
      </c>
    </row>
    <row r="21">
      <c r="A21" t="inlineStr">
        <is>
          <t>180336729</t>
        </is>
      </c>
      <c r="B21" t="inlineStr">
        <is>
          <t>2018-03-15 00:00:00</t>
        </is>
      </c>
      <c r="C21" t="inlineStr">
        <is>
          <t>45</t>
        </is>
      </c>
      <c r="D21" t="inlineStr">
        <is>
          <t>1</t>
        </is>
      </c>
      <c r="E21" t="inlineStr">
        <is>
          <t>1</t>
        </is>
      </c>
      <c r="F21" t="inlineStr"/>
      <c r="G21" t="inlineStr"/>
      <c r="H21" t="inlineStr">
        <is>
          <t>85</t>
        </is>
      </c>
      <c r="I21" t="inlineStr">
        <is>
          <t>68</t>
        </is>
      </c>
      <c r="J21" t="inlineStr"/>
      <c r="K21" t="inlineStr"/>
      <c r="L21" t="inlineStr"/>
      <c r="M21" t="inlineStr"/>
      <c r="N21" t="inlineStr">
        <is>
          <t>5</t>
        </is>
      </c>
      <c r="O21" t="inlineStr">
        <is>
          <t>4</t>
        </is>
      </c>
      <c r="P21" t="inlineStr">
        <is>
          <t>0</t>
        </is>
      </c>
      <c r="Q21" t="inlineStr">
        <is>
          <t>1130</t>
        </is>
      </c>
      <c r="R21" t="inlineStr">
        <is>
          <t>0</t>
        </is>
      </c>
      <c r="S21" t="inlineStr">
        <is>
          <t>0</t>
        </is>
      </c>
      <c r="T21" t="inlineStr"/>
      <c r="U21" t="inlineStr"/>
      <c r="V21" t="inlineStr">
        <is>
          <t>45YOM-BIB EMS FOUND IN A CAR PASSENGER UNRESPONSIVE-WHITE SUBSTANCE IN PLASTIC BAG BITE TAKEN OUT DX: OBS OVERDOSE</t>
        </is>
      </c>
      <c r="W21" t="inlineStr">
        <is>
          <t>S</t>
        </is>
      </c>
      <c r="X21" t="inlineStr">
        <is>
          <t>92</t>
        </is>
      </c>
      <c r="Y21" t="inlineStr">
        <is>
          <t>72.8379</t>
        </is>
      </c>
      <c r="Z21" t="n">
        <v>0</v>
      </c>
      <c r="AA21" t="n">
        <v>0</v>
      </c>
      <c r="AB21" t="inlineStr">
        <is>
          <t>No explicit mention of vitamin or supplement, and 'iron' is not mentioned.</t>
        </is>
      </c>
    </row>
    <row r="22">
      <c r="A22" t="inlineStr">
        <is>
          <t>200927062</t>
        </is>
      </c>
      <c r="B22" t="inlineStr">
        <is>
          <t>2020-07-23 00:00:00</t>
        </is>
      </c>
      <c r="C22" t="inlineStr">
        <is>
          <t>2</t>
        </is>
      </c>
      <c r="D22" t="inlineStr">
        <is>
          <t>2</t>
        </is>
      </c>
      <c r="E22" t="inlineStr">
        <is>
          <t>1</t>
        </is>
      </c>
      <c r="F22" t="inlineStr"/>
      <c r="G22" t="inlineStr">
        <is>
          <t>2</t>
        </is>
      </c>
      <c r="H22" t="inlineStr">
        <is>
          <t>85</t>
        </is>
      </c>
      <c r="I22" t="inlineStr">
        <is>
          <t>68</t>
        </is>
      </c>
      <c r="J22" t="inlineStr"/>
      <c r="K22" t="inlineStr"/>
      <c r="L22" t="inlineStr"/>
      <c r="M22" t="inlineStr"/>
      <c r="N22" t="inlineStr">
        <is>
          <t>1</t>
        </is>
      </c>
      <c r="O22" t="inlineStr">
        <is>
          <t>1</t>
        </is>
      </c>
      <c r="P22" t="inlineStr">
        <is>
          <t>0</t>
        </is>
      </c>
      <c r="Q22" t="inlineStr">
        <is>
          <t>1932</t>
        </is>
      </c>
      <c r="R22" t="inlineStr">
        <is>
          <t>0</t>
        </is>
      </c>
      <c r="S22" t="inlineStr">
        <is>
          <t>0</t>
        </is>
      </c>
      <c r="T22" t="inlineStr">
        <is>
          <t>0</t>
        </is>
      </c>
      <c r="U22" t="inlineStr">
        <is>
          <t>1</t>
        </is>
      </c>
      <c r="V22" t="inlineStr">
        <is>
          <t>2YOF PRESENTS W MOM FOR POSSIBLE INGESTION CHILD WAS IN CARE OF UNCLE HE AWOKE TO CHILD COUGHING OR GAGGING AND FOUND HER W AN OPEN TUBE OF *** CREAM SHE DID NOT HAVE ANY AROUND OR IN HER MOUTH THAT HE COULD SEE THAT WAS ON HER HANDS AND FEET DX: POSSIBLE INGESTION</t>
        </is>
      </c>
      <c r="W22" t="inlineStr">
        <is>
          <t>S</t>
        </is>
      </c>
      <c r="X22" t="inlineStr">
        <is>
          <t>81</t>
        </is>
      </c>
      <c r="Y22" t="inlineStr">
        <is>
          <t>78.4131</t>
        </is>
      </c>
      <c r="Z22" t="n">
        <v>1</v>
      </c>
      <c r="AA22" t="n">
        <v>0</v>
      </c>
      <c r="AB22" t="inlineStr">
        <is>
          <t>No explicit mention of a vitamin or supplement, and no iron-containing formulation mentioned.</t>
        </is>
      </c>
    </row>
    <row r="23">
      <c r="A23" t="inlineStr">
        <is>
          <t>150916427</t>
        </is>
      </c>
      <c r="B23" t="inlineStr">
        <is>
          <t>2015-08-28 00:00:00</t>
        </is>
      </c>
      <c r="C23" t="inlineStr">
        <is>
          <t>215</t>
        </is>
      </c>
      <c r="D23" t="inlineStr">
        <is>
          <t>2</t>
        </is>
      </c>
      <c r="E23" t="inlineStr">
        <is>
          <t>1</t>
        </is>
      </c>
      <c r="F23" t="inlineStr"/>
      <c r="G23" t="inlineStr"/>
      <c r="H23" t="inlineStr">
        <is>
          <t>85</t>
        </is>
      </c>
      <c r="I23" t="inlineStr">
        <is>
          <t>68</t>
        </is>
      </c>
      <c r="J23" t="inlineStr"/>
      <c r="K23" t="inlineStr"/>
      <c r="L23" t="inlineStr"/>
      <c r="M23" t="inlineStr"/>
      <c r="N23" t="inlineStr">
        <is>
          <t>1</t>
        </is>
      </c>
      <c r="O23" t="inlineStr">
        <is>
          <t>1</t>
        </is>
      </c>
      <c r="P23" t="inlineStr">
        <is>
          <t>0</t>
        </is>
      </c>
      <c r="Q23" t="inlineStr">
        <is>
          <t>1135</t>
        </is>
      </c>
      <c r="R23" t="inlineStr">
        <is>
          <t>955</t>
        </is>
      </c>
      <c r="S23" t="inlineStr">
        <is>
          <t>0</t>
        </is>
      </c>
      <c r="T23" t="inlineStr"/>
      <c r="U23" t="inlineStr"/>
      <c r="V23" t="inlineStr">
        <is>
          <t>15MOF INGESTED *** FUEL INJECTOR CLEANER, PT FOUND WITH BOTTLE; DX INGESTION CHEMICAL</t>
        </is>
      </c>
      <c r="W23" t="inlineStr">
        <is>
          <t>C</t>
        </is>
      </c>
      <c r="X23" t="inlineStr">
        <is>
          <t>20</t>
        </is>
      </c>
      <c r="Y23" t="inlineStr">
        <is>
          <t>5.6748</t>
        </is>
      </c>
      <c r="Z23" t="n">
        <v>0</v>
      </c>
      <c r="AA23" t="n">
        <v>0</v>
      </c>
      <c r="AB23" t="inlineStr">
        <is>
          <t>Fuel injector cleaner is a household chemical, not a supplement.</t>
        </is>
      </c>
    </row>
    <row r="24">
      <c r="A24" t="inlineStr">
        <is>
          <t>160450967</t>
        </is>
      </c>
      <c r="B24" t="inlineStr">
        <is>
          <t>2016-04-23 00:00:00</t>
        </is>
      </c>
      <c r="C24" t="inlineStr">
        <is>
          <t>2</t>
        </is>
      </c>
      <c r="D24" t="inlineStr">
        <is>
          <t>1</t>
        </is>
      </c>
      <c r="E24" t="inlineStr">
        <is>
          <t>3</t>
        </is>
      </c>
      <c r="F24" t="inlineStr">
        <is>
          <t>HISPANIC</t>
        </is>
      </c>
      <c r="G24" t="inlineStr"/>
      <c r="H24" t="inlineStr">
        <is>
          <t>85</t>
        </is>
      </c>
      <c r="I24" t="inlineStr">
        <is>
          <t>68</t>
        </is>
      </c>
      <c r="J24" t="inlineStr"/>
      <c r="K24" t="inlineStr"/>
      <c r="L24" t="inlineStr"/>
      <c r="M24" t="inlineStr"/>
      <c r="N24" t="inlineStr">
        <is>
          <t>1</t>
        </is>
      </c>
      <c r="O24" t="inlineStr">
        <is>
          <t>0</t>
        </is>
      </c>
      <c r="P24" t="inlineStr">
        <is>
          <t>0</t>
        </is>
      </c>
      <c r="Q24" t="inlineStr">
        <is>
          <t>1931</t>
        </is>
      </c>
      <c r="R24" t="inlineStr">
        <is>
          <t>0</t>
        </is>
      </c>
      <c r="S24" t="inlineStr">
        <is>
          <t>0</t>
        </is>
      </c>
      <c r="T24" t="inlineStr"/>
      <c r="U24" t="inlineStr"/>
      <c r="V24" t="inlineStr">
        <is>
          <t>2YOM FOUND W/OPEN BOTTLE OF TRAMADOL UNK IF PT TOOK ANY PILLS DX ACCIDENTAL DRUG INGESTION@</t>
        </is>
      </c>
      <c r="W24" t="inlineStr">
        <is>
          <t>C</t>
        </is>
      </c>
      <c r="X24" t="inlineStr">
        <is>
          <t>10</t>
        </is>
      </c>
      <c r="Y24" t="inlineStr">
        <is>
          <t>4.5056</t>
        </is>
      </c>
      <c r="Z24" t="n">
        <v>1</v>
      </c>
      <c r="AA24" t="n">
        <v>0</v>
      </c>
      <c r="AB24" t="inlineStr">
        <is>
          <t>Tramadol is an OTC medication, not a supplement.</t>
        </is>
      </c>
    </row>
    <row r="25">
      <c r="A25" t="inlineStr">
        <is>
          <t>230408349</t>
        </is>
      </c>
      <c r="B25" t="inlineStr">
        <is>
          <t>2023-03-25 00:00:00</t>
        </is>
      </c>
      <c r="C25" t="inlineStr">
        <is>
          <t>46</t>
        </is>
      </c>
      <c r="D25" t="inlineStr">
        <is>
          <t>1</t>
        </is>
      </c>
      <c r="E25" t="inlineStr">
        <is>
          <t>2</t>
        </is>
      </c>
      <c r="F25" t="inlineStr"/>
      <c r="G25" t="inlineStr">
        <is>
          <t>2</t>
        </is>
      </c>
      <c r="H25" t="inlineStr">
        <is>
          <t>85</t>
        </is>
      </c>
      <c r="I25" t="inlineStr">
        <is>
          <t>68</t>
        </is>
      </c>
      <c r="J25" t="inlineStr"/>
      <c r="K25" t="inlineStr"/>
      <c r="L25" t="inlineStr"/>
      <c r="M25" t="inlineStr"/>
      <c r="N25" t="inlineStr">
        <is>
          <t>1</t>
        </is>
      </c>
      <c r="O25" t="inlineStr">
        <is>
          <t>0</t>
        </is>
      </c>
      <c r="P25" t="inlineStr">
        <is>
          <t>0</t>
        </is>
      </c>
      <c r="Q25" t="inlineStr">
        <is>
          <t>3299</t>
        </is>
      </c>
      <c r="R25" t="inlineStr">
        <is>
          <t>0</t>
        </is>
      </c>
      <c r="S25" t="inlineStr">
        <is>
          <t>0</t>
        </is>
      </c>
      <c r="T25" t="inlineStr">
        <is>
          <t>0</t>
        </is>
      </c>
      <c r="U25" t="inlineStr">
        <is>
          <t>1</t>
        </is>
      </c>
      <c r="V25" t="inlineStr">
        <is>
          <t>46YOM PRESNETED WITH MUSCLE CRAMPS X2 WEEKS. THE PT ALSO REPORTED NAUSEA, VOMITING, DIARRHEA. STATED THAT THE SYMPTOMS STARTED AFTER TAKING A SUPPLEMENT AND DOING A STRENOUOS WORKOUT. HE SAID THAT HE HADN'T WORKED OUT IN A WHILE PRIOR TO THAT WORKOUT. DX: NEW ONSET DIABETES.</t>
        </is>
      </c>
      <c r="W25" t="inlineStr">
        <is>
          <t>V</t>
        </is>
      </c>
      <c r="X25" t="inlineStr">
        <is>
          <t>41</t>
        </is>
      </c>
      <c r="Y25" t="inlineStr">
        <is>
          <t>16.5988</t>
        </is>
      </c>
      <c r="Z25" t="n">
        <v>0</v>
      </c>
      <c r="AA25" t="n">
        <v>0</v>
      </c>
      <c r="AB25" t="inlineStr">
        <is>
          <t>No explicit mention of vitamin or dietary supplement, and symptoms started after taking a supplement.</t>
        </is>
      </c>
    </row>
    <row r="26">
      <c r="A26" t="inlineStr">
        <is>
          <t>110762961</t>
        </is>
      </c>
      <c r="B26" t="inlineStr">
        <is>
          <t>2011-07-08 00:00:00</t>
        </is>
      </c>
      <c r="C26" t="inlineStr">
        <is>
          <t>16</t>
        </is>
      </c>
      <c r="D26" t="inlineStr">
        <is>
          <t>2</t>
        </is>
      </c>
      <c r="E26" t="inlineStr">
        <is>
          <t>1</t>
        </is>
      </c>
      <c r="F26" t="inlineStr"/>
      <c r="G26" t="inlineStr"/>
      <c r="H26" t="inlineStr">
        <is>
          <t>85</t>
        </is>
      </c>
      <c r="I26" t="inlineStr">
        <is>
          <t>68</t>
        </is>
      </c>
      <c r="J26" t="inlineStr"/>
      <c r="K26" t="inlineStr"/>
      <c r="L26" t="inlineStr"/>
      <c r="M26" t="inlineStr"/>
      <c r="N26" t="inlineStr">
        <is>
          <t>5</t>
        </is>
      </c>
      <c r="O26" t="inlineStr">
        <is>
          <t>9</t>
        </is>
      </c>
      <c r="P26" t="inlineStr">
        <is>
          <t>0</t>
        </is>
      </c>
      <c r="Q26" t="inlineStr">
        <is>
          <t>974</t>
        </is>
      </c>
      <c r="R26" t="inlineStr">
        <is>
          <t>0</t>
        </is>
      </c>
      <c r="S26" t="inlineStr">
        <is>
          <t>0</t>
        </is>
      </c>
      <c r="T26" t="inlineStr"/>
      <c r="U26" t="inlineStr"/>
      <c r="V26" t="inlineStr">
        <is>
          <t>16YOF IN WOODS WITH FRIENDS SMOKING BATH SALTS/*** PASSED OUT; DRUG USE</t>
        </is>
      </c>
      <c r="W26" t="inlineStr">
        <is>
          <t>C</t>
        </is>
      </c>
      <c r="X26" t="inlineStr">
        <is>
          <t>8</t>
        </is>
      </c>
      <c r="Y26" t="inlineStr">
        <is>
          <t>6.3025</t>
        </is>
      </c>
      <c r="Z26" t="n">
        <v>0</v>
      </c>
      <c r="AA26" t="n">
        <v>0</v>
      </c>
      <c r="AB26" t="inlineStr">
        <is>
          <t>Mentions 'bath salts' which is often used to refer to synthetic cathinones, a type of illicit substance, not a vitamin or dietary supplement.</t>
        </is>
      </c>
    </row>
    <row r="27">
      <c r="A27" t="inlineStr">
        <is>
          <t>160136704</t>
        </is>
      </c>
      <c r="B27" t="inlineStr">
        <is>
          <t>2016-01-17 00:00:00</t>
        </is>
      </c>
      <c r="C27" t="inlineStr">
        <is>
          <t>212</t>
        </is>
      </c>
      <c r="D27" t="inlineStr">
        <is>
          <t>1</t>
        </is>
      </c>
      <c r="E27" t="inlineStr">
        <is>
          <t>0</t>
        </is>
      </c>
      <c r="F27" t="inlineStr"/>
      <c r="G27" t="inlineStr"/>
      <c r="H27" t="inlineStr">
        <is>
          <t>85</t>
        </is>
      </c>
      <c r="I27" t="inlineStr">
        <is>
          <t>68</t>
        </is>
      </c>
      <c r="J27" t="inlineStr"/>
      <c r="K27" t="inlineStr"/>
      <c r="L27" t="inlineStr"/>
      <c r="M27" t="inlineStr"/>
      <c r="N27" t="inlineStr">
        <is>
          <t>1</t>
        </is>
      </c>
      <c r="O27" t="inlineStr">
        <is>
          <t>1</t>
        </is>
      </c>
      <c r="P27" t="inlineStr">
        <is>
          <t>0</t>
        </is>
      </c>
      <c r="Q27" t="inlineStr">
        <is>
          <t>1930</t>
        </is>
      </c>
      <c r="R27" t="inlineStr">
        <is>
          <t>0</t>
        </is>
      </c>
      <c r="S27" t="inlineStr">
        <is>
          <t>0</t>
        </is>
      </c>
      <c r="T27" t="inlineStr"/>
      <c r="U27" t="inlineStr"/>
      <c r="V27" t="inlineStr">
        <is>
          <t>12MOM POISONING- POSSIBLY SWALLOWED *** CAPLET(S)</t>
        </is>
      </c>
      <c r="W27" t="inlineStr">
        <is>
          <t>M</t>
        </is>
      </c>
      <c r="X27" t="inlineStr">
        <is>
          <t>14</t>
        </is>
      </c>
      <c r="Y27" t="inlineStr">
        <is>
          <t>51.9316</t>
        </is>
      </c>
      <c r="Z27" t="n">
        <v>0</v>
      </c>
      <c r="AA27" t="n">
        <v>0</v>
      </c>
      <c r="AB27" t="inlineStr">
        <is>
          <t>No explicit mention of vitamin or dietary supplement; ingestion alone does not imply label=1</t>
        </is>
      </c>
    </row>
    <row r="28">
      <c r="A28" t="inlineStr">
        <is>
          <t>220314097</t>
        </is>
      </c>
      <c r="B28" t="inlineStr">
        <is>
          <t>2022-03-05 00:00:00</t>
        </is>
      </c>
      <c r="C28" t="inlineStr">
        <is>
          <t>72</t>
        </is>
      </c>
      <c r="D28" t="inlineStr">
        <is>
          <t>1</t>
        </is>
      </c>
      <c r="E28" t="inlineStr">
        <is>
          <t>1</t>
        </is>
      </c>
      <c r="F28" t="inlineStr"/>
      <c r="G28" t="inlineStr">
        <is>
          <t>2</t>
        </is>
      </c>
      <c r="H28" t="inlineStr">
        <is>
          <t>85</t>
        </is>
      </c>
      <c r="I28" t="inlineStr">
        <is>
          <t>68</t>
        </is>
      </c>
      <c r="J28" t="inlineStr"/>
      <c r="K28" t="inlineStr">
        <is>
          <t>87</t>
        </is>
      </c>
      <c r="L28" t="inlineStr">
        <is>
          <t>71</t>
        </is>
      </c>
      <c r="M28" t="inlineStr">
        <is>
          <t>NS</t>
        </is>
      </c>
      <c r="N28" t="inlineStr">
        <is>
          <t>5</t>
        </is>
      </c>
      <c r="O28" t="inlineStr">
        <is>
          <t>1</t>
        </is>
      </c>
      <c r="P28" t="inlineStr">
        <is>
          <t>0</t>
        </is>
      </c>
      <c r="Q28" t="inlineStr">
        <is>
          <t>4076</t>
        </is>
      </c>
      <c r="R28" t="inlineStr">
        <is>
          <t>1807</t>
        </is>
      </c>
      <c r="S28" t="inlineStr">
        <is>
          <t>0</t>
        </is>
      </c>
      <c r="T28" t="inlineStr">
        <is>
          <t>0</t>
        </is>
      </c>
      <c r="U28" t="inlineStr">
        <is>
          <t>1</t>
        </is>
      </c>
      <c r="V28" t="inlineStr">
        <is>
          <t>72 YOM PRESENTS WITH BLOOD SUGAR OF 29 AT HOME. PATIENT FELT WEAK AND HAD SYNCOPAL EPISODE AND FELL OUT OF BED TO FLOOR AT HOME. PATIENT STATES LAST NIGHT HIS GLUCOSE WAS HIGH AND HE ATE 2 DONUTS AND TOOK EXTRA INSULIN BEFORE GOING TO BED. NO INJURIES NOTED FROM FALL. DX: SYNCOPE; SEIZURE; ALTERED MENTAL STATUS; HYPOGLYCEMIA</t>
        </is>
      </c>
      <c r="W28" t="inlineStr">
        <is>
          <t>L</t>
        </is>
      </c>
      <c r="X28" t="inlineStr">
        <is>
          <t>3</t>
        </is>
      </c>
      <c r="Y28" t="inlineStr">
        <is>
          <t>57.5246</t>
        </is>
      </c>
      <c r="Z28" t="n">
        <v>0</v>
      </c>
      <c r="AA28" t="n">
        <v>0</v>
      </c>
      <c r="AB28" t="inlineStr">
        <is>
          <t>No mention of vitamins or supplements, only glucose and insulin.</t>
        </is>
      </c>
    </row>
    <row r="29">
      <c r="A29" t="inlineStr">
        <is>
          <t>200125377</t>
        </is>
      </c>
      <c r="B29" t="inlineStr">
        <is>
          <t>2020-01-09 00:00:00</t>
        </is>
      </c>
      <c r="C29" t="inlineStr">
        <is>
          <t>48</t>
        </is>
      </c>
      <c r="D29" t="inlineStr">
        <is>
          <t>1</t>
        </is>
      </c>
      <c r="E29" t="inlineStr">
        <is>
          <t>0</t>
        </is>
      </c>
      <c r="F29" t="inlineStr"/>
      <c r="G29" t="inlineStr">
        <is>
          <t>0</t>
        </is>
      </c>
      <c r="H29" t="inlineStr">
        <is>
          <t>85</t>
        </is>
      </c>
      <c r="I29" t="inlineStr">
        <is>
          <t>68</t>
        </is>
      </c>
      <c r="J29" t="inlineStr"/>
      <c r="K29" t="inlineStr"/>
      <c r="L29" t="inlineStr"/>
      <c r="M29" t="inlineStr"/>
      <c r="N29" t="inlineStr">
        <is>
          <t>1</t>
        </is>
      </c>
      <c r="O29" t="inlineStr">
        <is>
          <t>1</t>
        </is>
      </c>
      <c r="P29" t="inlineStr">
        <is>
          <t>0</t>
        </is>
      </c>
      <c r="Q29" t="inlineStr">
        <is>
          <t>956</t>
        </is>
      </c>
      <c r="R29" t="inlineStr">
        <is>
          <t>1807</t>
        </is>
      </c>
      <c r="S29" t="inlineStr">
        <is>
          <t>480</t>
        </is>
      </c>
      <c r="T29" t="inlineStr">
        <is>
          <t>0</t>
        </is>
      </c>
      <c r="U29" t="inlineStr">
        <is>
          <t>0</t>
        </is>
      </c>
      <c r="V29" t="inlineStr">
        <is>
          <t>*48YOM,BLEACH EXP,CHEST TIGHTNESS,ROOMATE MOPPED FLOOR SOME BLEACH UNDER DOOR,AFTER DEVELOP SYMPTOMS,DX:TOXIC EXP TO BLEACH</t>
        </is>
      </c>
      <c r="W29" t="inlineStr">
        <is>
          <t>M</t>
        </is>
      </c>
      <c r="X29" t="inlineStr">
        <is>
          <t>24</t>
        </is>
      </c>
      <c r="Y29" t="inlineStr">
        <is>
          <t>78.1602</t>
        </is>
      </c>
      <c r="Z29" t="n">
        <v>0</v>
      </c>
      <c r="AA29" t="n">
        <v>0</v>
      </c>
      <c r="AB29" t="inlineStr">
        <is>
          <t>Bleach is a household chemical, not a supplement.</t>
        </is>
      </c>
    </row>
    <row r="30">
      <c r="A30" t="inlineStr">
        <is>
          <t>80114758</t>
        </is>
      </c>
      <c r="B30" t="inlineStr">
        <is>
          <t>2008-01-02 00:00:00</t>
        </is>
      </c>
      <c r="C30" t="inlineStr">
        <is>
          <t>220</t>
        </is>
      </c>
      <c r="D30" t="inlineStr">
        <is>
          <t>1</t>
        </is>
      </c>
      <c r="E30" t="inlineStr">
        <is>
          <t>1</t>
        </is>
      </c>
      <c r="F30" t="inlineStr"/>
      <c r="G30" t="inlineStr"/>
      <c r="H30" t="inlineStr">
        <is>
          <t>85</t>
        </is>
      </c>
      <c r="I30" t="inlineStr">
        <is>
          <t>68</t>
        </is>
      </c>
      <c r="J30" t="inlineStr"/>
      <c r="K30" t="inlineStr"/>
      <c r="L30" t="inlineStr"/>
      <c r="M30" t="inlineStr"/>
      <c r="N30" t="inlineStr">
        <is>
          <t>5</t>
        </is>
      </c>
      <c r="O30" t="inlineStr">
        <is>
          <t>1</t>
        </is>
      </c>
      <c r="P30" t="inlineStr">
        <is>
          <t>0</t>
        </is>
      </c>
      <c r="Q30" t="inlineStr">
        <is>
          <t>1931</t>
        </is>
      </c>
      <c r="R30" t="inlineStr">
        <is>
          <t>1141</t>
        </is>
      </c>
      <c r="S30" t="inlineStr">
        <is>
          <t>0</t>
        </is>
      </c>
      <c r="T30" t="inlineStr"/>
      <c r="U30" t="inlineStr"/>
      <c r="V30" t="inlineStr">
        <is>
          <t>POSSIBLE INGESTION OF MOTHERS BOYFRIENDS PILLS IN BOX. ***, ***, ***, ***, ***. UNSURE IF TOOK, FOUND WITH PILL IN THREE PIECE</t>
        </is>
      </c>
      <c r="W30" t="inlineStr">
        <is>
          <t>C</t>
        </is>
      </c>
      <c r="X30" t="inlineStr">
        <is>
          <t>20</t>
        </is>
      </c>
      <c r="Y30" t="inlineStr">
        <is>
          <t>6.527</t>
        </is>
      </c>
      <c r="Z30" t="n">
        <v>1</v>
      </c>
      <c r="AA30" t="n">
        <v>0</v>
      </c>
      <c r="AB30" t="inlineStr">
        <is>
          <t>No explicit mention of a vitamin or supplement; ingestion is unclear.</t>
        </is>
      </c>
    </row>
    <row r="31">
      <c r="A31" t="inlineStr">
        <is>
          <t>130712578</t>
        </is>
      </c>
      <c r="B31" t="inlineStr">
        <is>
          <t>2013-06-24 00:00:00</t>
        </is>
      </c>
      <c r="C31" t="inlineStr">
        <is>
          <t>4</t>
        </is>
      </c>
      <c r="D31" t="inlineStr">
        <is>
          <t>2</t>
        </is>
      </c>
      <c r="E31" t="inlineStr">
        <is>
          <t>3</t>
        </is>
      </c>
      <c r="F31" t="inlineStr">
        <is>
          <t>HISPANIC</t>
        </is>
      </c>
      <c r="G31" t="inlineStr"/>
      <c r="H31" t="inlineStr">
        <is>
          <t>85</t>
        </is>
      </c>
      <c r="I31" t="inlineStr">
        <is>
          <t>68</t>
        </is>
      </c>
      <c r="J31" t="inlineStr"/>
      <c r="K31" t="inlineStr"/>
      <c r="L31" t="inlineStr"/>
      <c r="M31" t="inlineStr"/>
      <c r="N31" t="inlineStr">
        <is>
          <t>5</t>
        </is>
      </c>
      <c r="O31" t="inlineStr">
        <is>
          <t>0</t>
        </is>
      </c>
      <c r="P31" t="inlineStr">
        <is>
          <t>0</t>
        </is>
      </c>
      <c r="Q31" t="inlineStr">
        <is>
          <t>1931</t>
        </is>
      </c>
      <c r="R31" t="inlineStr">
        <is>
          <t>0</t>
        </is>
      </c>
      <c r="S31" t="inlineStr">
        <is>
          <t>0</t>
        </is>
      </c>
      <c r="T31" t="inlineStr"/>
      <c r="U31" t="inlineStr"/>
      <c r="V31" t="inlineStr">
        <is>
          <t>4 YOF HAD 10 *** PILLS IN HER HAND- MOM DIDN'T FIND ANY IN HER MOUTHSHEHAS UNSTEADY GAIT, &amp; IS DIZZY. DX; INGESTION</t>
        </is>
      </c>
      <c r="W31" t="inlineStr">
        <is>
          <t>C</t>
        </is>
      </c>
      <c r="X31" t="inlineStr">
        <is>
          <t>90</t>
        </is>
      </c>
      <c r="Y31" t="inlineStr">
        <is>
          <t>5.7324</t>
        </is>
      </c>
      <c r="Z31" t="n">
        <v>1</v>
      </c>
      <c r="AA31" t="n">
        <v>0</v>
      </c>
      <c r="AB31" t="inlineStr">
        <is>
          <t>No explicit mention of a vitamin or supplement, and 'ingestion' alone does not imply label=1.</t>
        </is>
      </c>
    </row>
    <row r="32">
      <c r="A32" t="inlineStr">
        <is>
          <t>140756096</t>
        </is>
      </c>
      <c r="B32" t="inlineStr">
        <is>
          <t>2014-07-24 00:00:00</t>
        </is>
      </c>
      <c r="C32" t="inlineStr">
        <is>
          <t>213</t>
        </is>
      </c>
      <c r="D32" t="inlineStr">
        <is>
          <t>1</t>
        </is>
      </c>
      <c r="E32" t="inlineStr">
        <is>
          <t>1</t>
        </is>
      </c>
      <c r="F32" t="inlineStr"/>
      <c r="G32" t="inlineStr"/>
      <c r="H32" t="inlineStr">
        <is>
          <t>85</t>
        </is>
      </c>
      <c r="I32" t="inlineStr">
        <is>
          <t>68</t>
        </is>
      </c>
      <c r="J32" t="inlineStr"/>
      <c r="K32" t="inlineStr"/>
      <c r="L32" t="inlineStr"/>
      <c r="M32" t="inlineStr"/>
      <c r="N32" t="inlineStr">
        <is>
          <t>1</t>
        </is>
      </c>
      <c r="O32" t="inlineStr">
        <is>
          <t>1</t>
        </is>
      </c>
      <c r="P32" t="inlineStr">
        <is>
          <t>0</t>
        </is>
      </c>
      <c r="Q32" t="inlineStr">
        <is>
          <t>954</t>
        </is>
      </c>
      <c r="R32" t="inlineStr">
        <is>
          <t>1138</t>
        </is>
      </c>
      <c r="S32" t="inlineStr">
        <is>
          <t>0</t>
        </is>
      </c>
      <c r="T32" t="inlineStr"/>
      <c r="U32" t="inlineStr"/>
      <c r="V32" t="inlineStr">
        <is>
          <t>13 MO MALE INGESTED FOAM CAN CARPET CLEANER AT HOME. DX-INGESTIONOF DETERGENT OR SOAP</t>
        </is>
      </c>
      <c r="W32" t="inlineStr">
        <is>
          <t>M</t>
        </is>
      </c>
      <c r="X32" t="inlineStr">
        <is>
          <t>78</t>
        </is>
      </c>
      <c r="Y32" t="inlineStr">
        <is>
          <t>99.704</t>
        </is>
      </c>
      <c r="Z32" t="n">
        <v>0</v>
      </c>
      <c r="AA32" t="n">
        <v>0</v>
      </c>
      <c r="AB32" t="inlineStr">
        <is>
          <t>Mentions 'carpet cleaner' which is a household chemical, not a supplement.</t>
        </is>
      </c>
    </row>
    <row r="33">
      <c r="A33" t="inlineStr">
        <is>
          <t>180832816</t>
        </is>
      </c>
      <c r="B33" t="inlineStr">
        <is>
          <t>2018-08-12 00:00:00</t>
        </is>
      </c>
      <c r="C33" t="inlineStr">
        <is>
          <t>210</t>
        </is>
      </c>
      <c r="D33" t="inlineStr">
        <is>
          <t>2</t>
        </is>
      </c>
      <c r="E33" t="inlineStr">
        <is>
          <t>0</t>
        </is>
      </c>
      <c r="F33" t="inlineStr"/>
      <c r="G33" t="inlineStr"/>
      <c r="H33" t="inlineStr">
        <is>
          <t>85</t>
        </is>
      </c>
      <c r="I33" t="inlineStr">
        <is>
          <t>68</t>
        </is>
      </c>
      <c r="J33" t="inlineStr"/>
      <c r="K33" t="inlineStr"/>
      <c r="L33" t="inlineStr"/>
      <c r="M33" t="inlineStr"/>
      <c r="N33" t="inlineStr">
        <is>
          <t>1</t>
        </is>
      </c>
      <c r="O33" t="inlineStr">
        <is>
          <t>1</t>
        </is>
      </c>
      <c r="P33" t="inlineStr">
        <is>
          <t>0</t>
        </is>
      </c>
      <c r="Q33" t="inlineStr">
        <is>
          <t>1913</t>
        </is>
      </c>
      <c r="R33" t="inlineStr">
        <is>
          <t>611</t>
        </is>
      </c>
      <c r="S33" t="inlineStr">
        <is>
          <t>0</t>
        </is>
      </c>
      <c r="T33" t="inlineStr"/>
      <c r="U33" t="inlineStr"/>
      <c r="V33" t="inlineStr">
        <is>
          <t>10MOF WAS BROUGHT IN FOR A RASH THAT STARTED YESTERDAY AFTER USING***BABY OIL IN HER BATH. DX: RASH SPREADING TO DIAPER AREA</t>
        </is>
      </c>
      <c r="W33" t="inlineStr">
        <is>
          <t>C</t>
        </is>
      </c>
      <c r="X33" t="inlineStr">
        <is>
          <t>37</t>
        </is>
      </c>
      <c r="Y33" t="inlineStr">
        <is>
          <t>4.9383</t>
        </is>
      </c>
      <c r="Z33" t="n">
        <v>0</v>
      </c>
      <c r="AA33" t="n">
        <v>0</v>
      </c>
      <c r="AB33" t="inlineStr">
        <is>
          <t>No mention of vitamins or supplements, only household chemical 'baby oil'.</t>
        </is>
      </c>
    </row>
    <row r="34">
      <c r="A34" t="inlineStr">
        <is>
          <t>90122227</t>
        </is>
      </c>
      <c r="B34" t="inlineStr">
        <is>
          <t>2009-01-07 00:00:00</t>
        </is>
      </c>
      <c r="C34" t="inlineStr">
        <is>
          <t>222</t>
        </is>
      </c>
      <c r="D34" t="inlineStr">
        <is>
          <t>1</t>
        </is>
      </c>
      <c r="E34" t="inlineStr">
        <is>
          <t>2</t>
        </is>
      </c>
      <c r="F34" t="inlineStr"/>
      <c r="G34" t="inlineStr"/>
      <c r="H34" t="inlineStr">
        <is>
          <t>85</t>
        </is>
      </c>
      <c r="I34" t="inlineStr">
        <is>
          <t>68</t>
        </is>
      </c>
      <c r="J34" t="inlineStr"/>
      <c r="K34" t="inlineStr"/>
      <c r="L34" t="inlineStr"/>
      <c r="M34" t="inlineStr"/>
      <c r="N34" t="inlineStr">
        <is>
          <t>1</t>
        </is>
      </c>
      <c r="O34" t="inlineStr">
        <is>
          <t>0</t>
        </is>
      </c>
      <c r="P34" t="inlineStr">
        <is>
          <t>0</t>
        </is>
      </c>
      <c r="Q34" t="inlineStr">
        <is>
          <t>921</t>
        </is>
      </c>
      <c r="R34" t="inlineStr">
        <is>
          <t>0</t>
        </is>
      </c>
      <c r="S34" t="inlineStr">
        <is>
          <t>0</t>
        </is>
      </c>
      <c r="T34" t="inlineStr"/>
      <c r="U34" t="inlineStr"/>
      <c r="V34" t="inlineStr">
        <is>
          <t>INGESTED BORIC ACID. VOMITING.</t>
        </is>
      </c>
      <c r="W34" t="inlineStr">
        <is>
          <t>L</t>
        </is>
      </c>
      <c r="X34" t="inlineStr">
        <is>
          <t>51</t>
        </is>
      </c>
      <c r="Y34" t="inlineStr">
        <is>
          <t>62.061</t>
        </is>
      </c>
      <c r="Z34" t="n">
        <v>0</v>
      </c>
      <c r="AA34" t="n">
        <v>0</v>
      </c>
      <c r="AB34" t="inlineStr">
        <is>
          <t>Boric acid is a household chemical/toxin, not a vitamin/supplement.</t>
        </is>
      </c>
    </row>
    <row r="35">
      <c r="A35" t="inlineStr">
        <is>
          <t>60323962</t>
        </is>
      </c>
      <c r="B35" t="inlineStr">
        <is>
          <t>2006-02-19 00:00:00</t>
        </is>
      </c>
      <c r="C35" t="inlineStr">
        <is>
          <t>5</t>
        </is>
      </c>
      <c r="D35" t="inlineStr">
        <is>
          <t>1</t>
        </is>
      </c>
      <c r="E35" t="inlineStr">
        <is>
          <t>0</t>
        </is>
      </c>
      <c r="F35" t="inlineStr"/>
      <c r="G35" t="inlineStr"/>
      <c r="H35" t="inlineStr">
        <is>
          <t>85</t>
        </is>
      </c>
      <c r="I35" t="inlineStr">
        <is>
          <t>68</t>
        </is>
      </c>
      <c r="J35" t="inlineStr"/>
      <c r="K35" t="inlineStr"/>
      <c r="L35" t="inlineStr"/>
      <c r="M35" t="inlineStr"/>
      <c r="N35" t="inlineStr">
        <is>
          <t>1</t>
        </is>
      </c>
      <c r="O35" t="inlineStr">
        <is>
          <t>0</t>
        </is>
      </c>
      <c r="P35" t="inlineStr">
        <is>
          <t>0</t>
        </is>
      </c>
      <c r="Q35" t="inlineStr">
        <is>
          <t>478</t>
        </is>
      </c>
      <c r="R35" t="inlineStr">
        <is>
          <t>0</t>
        </is>
      </c>
      <c r="S35" t="inlineStr">
        <is>
          <t>0</t>
        </is>
      </c>
      <c r="T35" t="inlineStr"/>
      <c r="U35" t="inlineStr"/>
      <c r="V35" t="inlineStr">
        <is>
          <t>ACCIDENTAL INGESTION OF HYDROGEN PREOXIDE - DRANK FROM GLASS WITH PEROXIDE IN IT</t>
        </is>
      </c>
      <c r="W35" t="inlineStr">
        <is>
          <t>S</t>
        </is>
      </c>
      <c r="X35" t="inlineStr">
        <is>
          <t>48</t>
        </is>
      </c>
      <c r="Y35" t="inlineStr">
        <is>
          <t>71.3515</t>
        </is>
      </c>
      <c r="Z35" t="n">
        <v>0</v>
      </c>
      <c r="AA35" t="n">
        <v>0</v>
      </c>
      <c r="AB35" t="inlineStr">
        <is>
          <t>Hydrogen peroxide is a household chemical/toxin, not a supplement.</t>
        </is>
      </c>
    </row>
    <row r="36">
      <c r="A36" t="inlineStr">
        <is>
          <t>60856001</t>
        </is>
      </c>
      <c r="B36" t="inlineStr">
        <is>
          <t>2006-07-23 00:00:00</t>
        </is>
      </c>
      <c r="C36" t="inlineStr">
        <is>
          <t>4</t>
        </is>
      </c>
      <c r="D36" t="inlineStr">
        <is>
          <t>2</t>
        </is>
      </c>
      <c r="E36" t="inlineStr">
        <is>
          <t>1</t>
        </is>
      </c>
      <c r="F36" t="inlineStr"/>
      <c r="G36" t="inlineStr"/>
      <c r="H36" t="inlineStr">
        <is>
          <t>85</t>
        </is>
      </c>
      <c r="I36" t="inlineStr">
        <is>
          <t>68</t>
        </is>
      </c>
      <c r="J36" t="inlineStr"/>
      <c r="K36" t="inlineStr"/>
      <c r="L36" t="inlineStr"/>
      <c r="M36" t="inlineStr"/>
      <c r="N36" t="inlineStr">
        <is>
          <t>1</t>
        </is>
      </c>
      <c r="O36" t="inlineStr">
        <is>
          <t>5</t>
        </is>
      </c>
      <c r="P36" t="inlineStr">
        <is>
          <t>0</t>
        </is>
      </c>
      <c r="Q36" t="inlineStr">
        <is>
          <t>1927</t>
        </is>
      </c>
      <c r="R36" t="inlineStr">
        <is>
          <t>0</t>
        </is>
      </c>
      <c r="S36" t="inlineStr">
        <is>
          <t>0</t>
        </is>
      </c>
      <c r="T36" t="inlineStr"/>
      <c r="U36" t="inlineStr"/>
      <c r="V36" t="inlineStr">
        <is>
          <t>SEDATED WITH *** 15 MG, *** 80MG FOR SPINE MRI, HYPERACTIVESINCE, RUNNINGG INTO THINGS, BITING/HITTING, LOUD, INCREASED PO; MED RX</t>
        </is>
      </c>
      <c r="W36" t="inlineStr">
        <is>
          <t>C</t>
        </is>
      </c>
      <c r="X36" t="inlineStr">
        <is>
          <t>8</t>
        </is>
      </c>
      <c r="Y36" t="inlineStr">
        <is>
          <t>5.3759</t>
        </is>
      </c>
      <c r="Z36" t="n">
        <v>1</v>
      </c>
      <c r="AA36" t="n">
        <v>0</v>
      </c>
      <c r="AB36" t="inlineStr">
        <is>
          <t>No mention of vitamins or supplements.</t>
        </is>
      </c>
    </row>
    <row r="37">
      <c r="A37" t="inlineStr">
        <is>
          <t>151058504</t>
        </is>
      </c>
      <c r="B37" t="inlineStr">
        <is>
          <t>2015-10-17 00:00:00</t>
        </is>
      </c>
      <c r="C37" t="inlineStr">
        <is>
          <t>2</t>
        </is>
      </c>
      <c r="D37" t="inlineStr">
        <is>
          <t>1</t>
        </is>
      </c>
      <c r="E37" t="inlineStr">
        <is>
          <t>1</t>
        </is>
      </c>
      <c r="F37" t="inlineStr"/>
      <c r="G37" t="inlineStr"/>
      <c r="H37" t="inlineStr">
        <is>
          <t>85</t>
        </is>
      </c>
      <c r="I37" t="inlineStr">
        <is>
          <t>68</t>
        </is>
      </c>
      <c r="J37" t="inlineStr"/>
      <c r="K37" t="inlineStr"/>
      <c r="L37" t="inlineStr"/>
      <c r="M37" t="inlineStr"/>
      <c r="N37" t="inlineStr">
        <is>
          <t>1</t>
        </is>
      </c>
      <c r="O37" t="inlineStr">
        <is>
          <t>1</t>
        </is>
      </c>
      <c r="P37" t="inlineStr">
        <is>
          <t>0</t>
        </is>
      </c>
      <c r="Q37" t="inlineStr">
        <is>
          <t>1932</t>
        </is>
      </c>
      <c r="R37" t="inlineStr">
        <is>
          <t>0</t>
        </is>
      </c>
      <c r="S37" t="inlineStr">
        <is>
          <t>0</t>
        </is>
      </c>
      <c r="T37" t="inlineStr"/>
      <c r="U37" t="inlineStr"/>
      <c r="V37" t="inlineStr">
        <is>
          <t>2YOM FND W BOTTLE DROPPER IN HIS MOUTH SUST WAS "PEACHY WHIP" FOR E CIGARETTES DX POSSIBLE INGESTION</t>
        </is>
      </c>
      <c r="W37" t="inlineStr">
        <is>
          <t>S</t>
        </is>
      </c>
      <c r="X37" t="inlineStr">
        <is>
          <t>28</t>
        </is>
      </c>
      <c r="Y37" t="inlineStr">
        <is>
          <t>83.2157</t>
        </is>
      </c>
      <c r="Z37" t="n">
        <v>1</v>
      </c>
      <c r="AA37" t="n">
        <v>0</v>
      </c>
      <c r="AB37" t="inlineStr">
        <is>
          <t>No mention of vitamins or supplements, and 'Peachy Whip' is an e-cigarette flavoring, not a supplement.</t>
        </is>
      </c>
    </row>
    <row r="38">
      <c r="A38" t="inlineStr">
        <is>
          <t>220810707</t>
        </is>
      </c>
      <c r="B38" t="inlineStr">
        <is>
          <t>2022-07-15 00:00:00</t>
        </is>
      </c>
      <c r="C38" t="inlineStr">
        <is>
          <t>204</t>
        </is>
      </c>
      <c r="D38" t="inlineStr">
        <is>
          <t>2</t>
        </is>
      </c>
      <c r="E38" t="inlineStr">
        <is>
          <t>1</t>
        </is>
      </c>
      <c r="F38" t="inlineStr"/>
      <c r="G38" t="inlineStr">
        <is>
          <t>1</t>
        </is>
      </c>
      <c r="H38" t="inlineStr">
        <is>
          <t>85</t>
        </is>
      </c>
      <c r="I38" t="inlineStr">
        <is>
          <t>68</t>
        </is>
      </c>
      <c r="J38" t="inlineStr"/>
      <c r="K38" t="inlineStr"/>
      <c r="L38" t="inlineStr"/>
      <c r="M38" t="inlineStr"/>
      <c r="N38" t="inlineStr">
        <is>
          <t>4</t>
        </is>
      </c>
      <c r="O38" t="inlineStr">
        <is>
          <t>5</t>
        </is>
      </c>
      <c r="P38" t="inlineStr">
        <is>
          <t>0</t>
        </is>
      </c>
      <c r="Q38" t="inlineStr">
        <is>
          <t>1927</t>
        </is>
      </c>
      <c r="R38" t="inlineStr">
        <is>
          <t>0</t>
        </is>
      </c>
      <c r="S38" t="inlineStr">
        <is>
          <t>0</t>
        </is>
      </c>
      <c r="T38" t="inlineStr">
        <is>
          <t>0</t>
        </is>
      </c>
      <c r="U38" t="inlineStr">
        <is>
          <t>1</t>
        </is>
      </c>
      <c r="V38" t="inlineStr">
        <is>
          <t>4MOF PRESENTS WITH DECREASED ENERGY AND FEVER AFTER PT GOT 4 MONTH VACCINES AT PCP. CONTINUED FEVER FOLLOWING DAY. DX: BILOUS VOMITING</t>
        </is>
      </c>
      <c r="W38" t="inlineStr">
        <is>
          <t>V</t>
        </is>
      </c>
      <c r="X38" t="inlineStr">
        <is>
          <t>40</t>
        </is>
      </c>
      <c r="Y38" t="inlineStr">
        <is>
          <t>19.2485</t>
        </is>
      </c>
      <c r="Z38" t="n">
        <v>1</v>
      </c>
      <c r="AA38" t="n">
        <v>0</v>
      </c>
      <c r="AB38" t="inlineStr">
        <is>
          <t>No mention of vitamins or supplements, only vaccines and medical treatment.</t>
        </is>
      </c>
    </row>
    <row r="39">
      <c r="A39" t="inlineStr">
        <is>
          <t>171028733</t>
        </is>
      </c>
      <c r="B39" t="inlineStr">
        <is>
          <t>2017-10-04 00:00:00</t>
        </is>
      </c>
      <c r="C39" t="inlineStr">
        <is>
          <t>213</t>
        </is>
      </c>
      <c r="D39" t="inlineStr">
        <is>
          <t>2</t>
        </is>
      </c>
      <c r="E39" t="inlineStr">
        <is>
          <t>0</t>
        </is>
      </c>
      <c r="F39" t="inlineStr"/>
      <c r="G39" t="inlineStr"/>
      <c r="H39" t="inlineStr">
        <is>
          <t>85</t>
        </is>
      </c>
      <c r="I39" t="inlineStr">
        <is>
          <t>68</t>
        </is>
      </c>
      <c r="J39" t="inlineStr"/>
      <c r="K39" t="inlineStr"/>
      <c r="L39" t="inlineStr"/>
      <c r="M39" t="inlineStr"/>
      <c r="N39" t="inlineStr">
        <is>
          <t>1</t>
        </is>
      </c>
      <c r="O39" t="inlineStr">
        <is>
          <t>1</t>
        </is>
      </c>
      <c r="P39" t="inlineStr">
        <is>
          <t>0</t>
        </is>
      </c>
      <c r="Q39" t="inlineStr">
        <is>
          <t>1931</t>
        </is>
      </c>
      <c r="R39" t="inlineStr">
        <is>
          <t>0</t>
        </is>
      </c>
      <c r="S39" t="inlineStr">
        <is>
          <t>0</t>
        </is>
      </c>
      <c r="T39" t="inlineStr"/>
      <c r="U39" t="inlineStr"/>
      <c r="V39" t="inlineStr">
        <is>
          <t>13 MOF. MOTHER FOUND A GABAPENTIN/GRANDMOTHER'S PILL IN PT'S MOUTH. DX:ACCIDENTAL DRUG INGESTION</t>
        </is>
      </c>
      <c r="W39" t="inlineStr">
        <is>
          <t>M</t>
        </is>
      </c>
      <c r="X39" t="inlineStr">
        <is>
          <t>24</t>
        </is>
      </c>
      <c r="Y39" t="inlineStr">
        <is>
          <t>79.1731</t>
        </is>
      </c>
      <c r="Z39" t="n">
        <v>1</v>
      </c>
      <c r="AA39" t="n">
        <v>0</v>
      </c>
      <c r="AB39" t="inlineStr">
        <is>
          <t>Gabapentin is a prescription medication, not a supplement.</t>
        </is>
      </c>
    </row>
    <row r="40">
      <c r="A40" t="inlineStr">
        <is>
          <t>230314673</t>
        </is>
      </c>
      <c r="B40" t="inlineStr">
        <is>
          <t>2023-03-02 00:00:00</t>
        </is>
      </c>
      <c r="C40" t="inlineStr">
        <is>
          <t>211</t>
        </is>
      </c>
      <c r="D40" t="inlineStr">
        <is>
          <t>1</t>
        </is>
      </c>
      <c r="E40" t="inlineStr">
        <is>
          <t>4</t>
        </is>
      </c>
      <c r="F40" t="inlineStr"/>
      <c r="G40" t="inlineStr">
        <is>
          <t>0</t>
        </is>
      </c>
      <c r="H40" t="inlineStr">
        <is>
          <t>85</t>
        </is>
      </c>
      <c r="I40" t="inlineStr">
        <is>
          <t>68</t>
        </is>
      </c>
      <c r="J40" t="inlineStr"/>
      <c r="K40" t="inlineStr"/>
      <c r="L40" t="inlineStr"/>
      <c r="M40" t="inlineStr"/>
      <c r="N40" t="inlineStr">
        <is>
          <t>1</t>
        </is>
      </c>
      <c r="O40" t="inlineStr">
        <is>
          <t>0</t>
        </is>
      </c>
      <c r="P40" t="inlineStr">
        <is>
          <t>0</t>
        </is>
      </c>
      <c r="Q40" t="inlineStr">
        <is>
          <t>1931</t>
        </is>
      </c>
      <c r="R40" t="inlineStr">
        <is>
          <t>0</t>
        </is>
      </c>
      <c r="S40" t="inlineStr">
        <is>
          <t>0</t>
        </is>
      </c>
      <c r="T40" t="inlineStr">
        <is>
          <t>0</t>
        </is>
      </c>
      <c r="U40" t="inlineStr">
        <is>
          <t>1</t>
        </is>
      </c>
      <c r="V40" t="inlineStr">
        <is>
          <t>11MOM PRESENTS W CONCERN OF INGESTION OF 100MG LABETALOL TABLET DX ACCIDENTAL DRUG INGESTION</t>
        </is>
      </c>
      <c r="W40" t="inlineStr">
        <is>
          <t>C</t>
        </is>
      </c>
      <c r="X40" t="inlineStr">
        <is>
          <t>32</t>
        </is>
      </c>
      <c r="Y40" t="inlineStr">
        <is>
          <t>7.6092</t>
        </is>
      </c>
      <c r="Z40" t="n">
        <v>1</v>
      </c>
      <c r="AA40" t="n">
        <v>0</v>
      </c>
      <c r="AB40" t="inlineStr">
        <is>
          <t>Labetalol is a prescription medication, not a supplement.</t>
        </is>
      </c>
    </row>
    <row r="41">
      <c r="A41" t="inlineStr">
        <is>
          <t>120704232</t>
        </is>
      </c>
      <c r="B41" t="inlineStr">
        <is>
          <t>2012-06-27 00:00:00</t>
        </is>
      </c>
      <c r="C41" t="inlineStr">
        <is>
          <t>2</t>
        </is>
      </c>
      <c r="D41" t="inlineStr">
        <is>
          <t>2</t>
        </is>
      </c>
      <c r="E41" t="inlineStr">
        <is>
          <t>0</t>
        </is>
      </c>
      <c r="F41" t="inlineStr"/>
      <c r="G41" t="inlineStr"/>
      <c r="H41" t="inlineStr">
        <is>
          <t>85</t>
        </is>
      </c>
      <c r="I41" t="inlineStr">
        <is>
          <t>68</t>
        </is>
      </c>
      <c r="J41" t="inlineStr"/>
      <c r="K41" t="inlineStr"/>
      <c r="L41" t="inlineStr"/>
      <c r="M41" t="inlineStr"/>
      <c r="N41" t="inlineStr">
        <is>
          <t>1</t>
        </is>
      </c>
      <c r="O41" t="inlineStr">
        <is>
          <t>1</t>
        </is>
      </c>
      <c r="P41" t="inlineStr">
        <is>
          <t>0</t>
        </is>
      </c>
      <c r="Q41" t="inlineStr">
        <is>
          <t>1915</t>
        </is>
      </c>
      <c r="R41" t="inlineStr">
        <is>
          <t>0</t>
        </is>
      </c>
      <c r="S41" t="inlineStr">
        <is>
          <t>0</t>
        </is>
      </c>
      <c r="T41" t="inlineStr"/>
      <c r="U41" t="inlineStr"/>
      <c r="V41" t="inlineStr">
        <is>
          <t>2 YO F INGESTED RUBBING ALCOHOLPOISONING</t>
        </is>
      </c>
      <c r="W41" t="inlineStr">
        <is>
          <t>V</t>
        </is>
      </c>
      <c r="X41" t="inlineStr">
        <is>
          <t>17</t>
        </is>
      </c>
      <c r="Y41" t="inlineStr">
        <is>
          <t>15.5286</t>
        </is>
      </c>
      <c r="Z41" t="n">
        <v>0</v>
      </c>
      <c r="AA41" t="n">
        <v>0</v>
      </c>
      <c r="AB41" t="inlineStr">
        <is>
          <t>RUBBING ALCOHOL is a household chemical, not a supplement.</t>
        </is>
      </c>
    </row>
    <row r="42">
      <c r="A42" t="inlineStr">
        <is>
          <t>170739182</t>
        </is>
      </c>
      <c r="B42" t="inlineStr">
        <is>
          <t>2017-06-18 00:00:00</t>
        </is>
      </c>
      <c r="C42" t="inlineStr">
        <is>
          <t>61</t>
        </is>
      </c>
      <c r="D42" t="inlineStr">
        <is>
          <t>1</t>
        </is>
      </c>
      <c r="E42" t="inlineStr">
        <is>
          <t>1</t>
        </is>
      </c>
      <c r="F42" t="inlineStr"/>
      <c r="G42" t="inlineStr"/>
      <c r="H42" t="inlineStr">
        <is>
          <t>85</t>
        </is>
      </c>
      <c r="I42" t="inlineStr">
        <is>
          <t>68</t>
        </is>
      </c>
      <c r="J42" t="inlineStr"/>
      <c r="K42" t="inlineStr"/>
      <c r="L42" t="inlineStr"/>
      <c r="M42" t="inlineStr"/>
      <c r="N42" t="inlineStr">
        <is>
          <t>4</t>
        </is>
      </c>
      <c r="O42" t="inlineStr">
        <is>
          <t>1</t>
        </is>
      </c>
      <c r="P42" t="inlineStr">
        <is>
          <t>0</t>
        </is>
      </c>
      <c r="Q42" t="inlineStr">
        <is>
          <t>4074</t>
        </is>
      </c>
      <c r="R42" t="inlineStr">
        <is>
          <t>0</t>
        </is>
      </c>
      <c r="S42" t="inlineStr">
        <is>
          <t>0</t>
        </is>
      </c>
      <c r="T42" t="inlineStr"/>
      <c r="U42" t="inlineStr"/>
      <c r="V42" t="inlineStr">
        <is>
          <t>61YOM CONSUMED 6 DRINKS (BEER/WINE) TODAY; EATING ICE CREAM,THINGS WENTBLACK,FELL OFF CHAIR DX: SYNCOPE,AL INTOXICATION, ELEVATED TROPONIN</t>
        </is>
      </c>
      <c r="W42" t="inlineStr">
        <is>
          <t>M</t>
        </is>
      </c>
      <c r="X42" t="inlineStr">
        <is>
          <t>54</t>
        </is>
      </c>
      <c r="Y42" t="inlineStr">
        <is>
          <t>79.1731</t>
        </is>
      </c>
      <c r="Z42" t="n">
        <v>0</v>
      </c>
      <c r="AA42" t="n">
        <v>0</v>
      </c>
      <c r="AB42" t="inlineStr">
        <is>
          <t>No mention of vitamins or supplements.</t>
        </is>
      </c>
    </row>
    <row r="43">
      <c r="A43" t="inlineStr">
        <is>
          <t>141031857</t>
        </is>
      </c>
      <c r="B43" t="inlineStr">
        <is>
          <t>2014-08-31 00:00:00</t>
        </is>
      </c>
      <c r="C43" t="inlineStr">
        <is>
          <t>219</t>
        </is>
      </c>
      <c r="D43" t="inlineStr">
        <is>
          <t>2</t>
        </is>
      </c>
      <c r="E43" t="inlineStr">
        <is>
          <t>2</t>
        </is>
      </c>
      <c r="F43" t="inlineStr"/>
      <c r="G43" t="inlineStr"/>
      <c r="H43" t="inlineStr">
        <is>
          <t>85</t>
        </is>
      </c>
      <c r="I43" t="inlineStr">
        <is>
          <t>68</t>
        </is>
      </c>
      <c r="J43" t="inlineStr"/>
      <c r="K43" t="inlineStr"/>
      <c r="L43" t="inlineStr"/>
      <c r="M43" t="inlineStr"/>
      <c r="N43" t="inlineStr">
        <is>
          <t>4</t>
        </is>
      </c>
      <c r="O43" t="inlineStr">
        <is>
          <t>1</t>
        </is>
      </c>
      <c r="P43" t="inlineStr">
        <is>
          <t>0</t>
        </is>
      </c>
      <c r="Q43" t="inlineStr">
        <is>
          <t>1931</t>
        </is>
      </c>
      <c r="R43" t="inlineStr">
        <is>
          <t>1107</t>
        </is>
      </c>
      <c r="S43" t="inlineStr">
        <is>
          <t>0</t>
        </is>
      </c>
      <c r="T43" t="inlineStr"/>
      <c r="U43" t="inlineStr"/>
      <c r="V43" t="inlineStr">
        <is>
          <t>19MOF FOUND WITH AUNTS PILL CONTAINER CONTAINING *** 2MG. PILL FOUND IN PT MOUTH; DX POISONING</t>
        </is>
      </c>
      <c r="W43" t="inlineStr">
        <is>
          <t>C</t>
        </is>
      </c>
      <c r="X43" t="inlineStr">
        <is>
          <t>20</t>
        </is>
      </c>
      <c r="Y43" t="inlineStr">
        <is>
          <t>5.7174</t>
        </is>
      </c>
      <c r="Z43" t="n">
        <v>1</v>
      </c>
      <c r="AA43" t="n">
        <v>0</v>
      </c>
      <c r="AB43" t="inlineStr">
        <is>
          <t>Mentions 'pill' without specifying supplement or medication, and does not mention iron.</t>
        </is>
      </c>
    </row>
    <row r="44">
      <c r="A44" t="inlineStr">
        <is>
          <t>220759419</t>
        </is>
      </c>
      <c r="B44" t="inlineStr">
        <is>
          <t>2022-06-16 00:00:00</t>
        </is>
      </c>
      <c r="C44" t="inlineStr">
        <is>
          <t>22</t>
        </is>
      </c>
      <c r="D44" t="inlineStr">
        <is>
          <t>2</t>
        </is>
      </c>
      <c r="E44" t="inlineStr">
        <is>
          <t>3</t>
        </is>
      </c>
      <c r="F44" t="inlineStr">
        <is>
          <t>UNKNOWN</t>
        </is>
      </c>
      <c r="G44" t="inlineStr">
        <is>
          <t>0</t>
        </is>
      </c>
      <c r="H44" t="inlineStr">
        <is>
          <t>85</t>
        </is>
      </c>
      <c r="I44" t="inlineStr">
        <is>
          <t>68</t>
        </is>
      </c>
      <c r="J44" t="inlineStr"/>
      <c r="K44" t="inlineStr"/>
      <c r="L44" t="inlineStr"/>
      <c r="M44" t="inlineStr"/>
      <c r="N44" t="inlineStr">
        <is>
          <t>1</t>
        </is>
      </c>
      <c r="O44" t="inlineStr">
        <is>
          <t>1</t>
        </is>
      </c>
      <c r="P44" t="inlineStr">
        <is>
          <t>0</t>
        </is>
      </c>
      <c r="Q44" t="inlineStr">
        <is>
          <t>929</t>
        </is>
      </c>
      <c r="R44" t="inlineStr">
        <is>
          <t>936</t>
        </is>
      </c>
      <c r="S44" t="inlineStr">
        <is>
          <t>1893</t>
        </is>
      </c>
      <c r="T44" t="inlineStr">
        <is>
          <t>0</t>
        </is>
      </c>
      <c r="U44" t="inlineStr">
        <is>
          <t>0</t>
        </is>
      </c>
      <c r="V44" t="inlineStr">
        <is>
          <t>22YOF PRESENTED AT ED C/O OF CHEMICAL EXPOSURE.  PATIENT'S MOTHER AND FATHER WERE CLEANING AND MIX *** WITH SULFURIC ACID CREATING FUMES.  SHE DECIDED TO CHECK UP ON THEM AND WAS EXPOSED FOR A FEW SECONDS WHEN SHE OPENED THE DOOR. SHE HAS NO SYMPTOMS, NO TROUBLE BREATHING, NO PAIN WITH BREATING, NO OROPHARNGEAL PAIN.  DX: EXPOSURE TO INDUSTRIAL FUMES</t>
        </is>
      </c>
      <c r="W44" t="inlineStr">
        <is>
          <t>V</t>
        </is>
      </c>
      <c r="X44" t="inlineStr">
        <is>
          <t>57</t>
        </is>
      </c>
      <c r="Y44" t="inlineStr">
        <is>
          <t>18.1791</t>
        </is>
      </c>
      <c r="Z44" t="n">
        <v>0</v>
      </c>
      <c r="AA44" t="n">
        <v>0</v>
      </c>
      <c r="AB44" t="inlineStr">
        <is>
          <t>No mention of vitamins or dietary supplements; exposure to industrial fumes is a chemical/toxin.</t>
        </is>
      </c>
    </row>
    <row r="45">
      <c r="A45" t="inlineStr">
        <is>
          <t>61037874</t>
        </is>
      </c>
      <c r="B45" t="inlineStr">
        <is>
          <t>2006-10-14 00:00:00</t>
        </is>
      </c>
      <c r="C45" t="inlineStr">
        <is>
          <t>39</t>
        </is>
      </c>
      <c r="D45" t="inlineStr">
        <is>
          <t>2</t>
        </is>
      </c>
      <c r="E45" t="inlineStr">
        <is>
          <t>0</t>
        </is>
      </c>
      <c r="F45" t="inlineStr"/>
      <c r="G45" t="inlineStr"/>
      <c r="H45" t="inlineStr">
        <is>
          <t>85</t>
        </is>
      </c>
      <c r="I45" t="inlineStr">
        <is>
          <t>68</t>
        </is>
      </c>
      <c r="J45" t="inlineStr"/>
      <c r="K45" t="inlineStr"/>
      <c r="L45" t="inlineStr"/>
      <c r="M45" t="inlineStr"/>
      <c r="N45" t="inlineStr">
        <is>
          <t>1</t>
        </is>
      </c>
      <c r="O45" t="inlineStr">
        <is>
          <t>1</t>
        </is>
      </c>
      <c r="P45" t="inlineStr">
        <is>
          <t>0</t>
        </is>
      </c>
      <c r="Q45" t="inlineStr">
        <is>
          <t>956</t>
        </is>
      </c>
      <c r="R45" t="inlineStr">
        <is>
          <t>0</t>
        </is>
      </c>
      <c r="S45" t="inlineStr">
        <is>
          <t>0</t>
        </is>
      </c>
      <c r="T45" t="inlineStr"/>
      <c r="U45" t="inlineStr"/>
      <c r="V45" t="inlineStr">
        <is>
          <t>ALLERGIC REACTION.PT.REFERS AFTER USING *** BLEACHE,BEGAN SHORTNESS OFBTRATH.</t>
        </is>
      </c>
      <c r="W45" t="inlineStr">
        <is>
          <t>S</t>
        </is>
      </c>
      <c r="X45" t="inlineStr">
        <is>
          <t>27</t>
        </is>
      </c>
      <c r="Y45" t="inlineStr">
        <is>
          <t>73.0503</t>
        </is>
      </c>
      <c r="Z45" t="n">
        <v>0</v>
      </c>
      <c r="AA45" t="n">
        <v>0</v>
      </c>
      <c r="AB45" t="inlineStr">
        <is>
          <t>Mentions 'bleach' which is a household chemical, not a supplement.</t>
        </is>
      </c>
    </row>
    <row r="46">
      <c r="A46" t="inlineStr">
        <is>
          <t>61033088</t>
        </is>
      </c>
      <c r="B46" t="inlineStr">
        <is>
          <t>2006-10-02 00:00:00</t>
        </is>
      </c>
      <c r="C46" t="inlineStr">
        <is>
          <t>221</t>
        </is>
      </c>
      <c r="D46" t="inlineStr">
        <is>
          <t>1</t>
        </is>
      </c>
      <c r="E46" t="inlineStr">
        <is>
          <t>1</t>
        </is>
      </c>
      <c r="F46" t="inlineStr"/>
      <c r="G46" t="inlineStr"/>
      <c r="H46" t="inlineStr">
        <is>
          <t>85</t>
        </is>
      </c>
      <c r="I46" t="inlineStr">
        <is>
          <t>68</t>
        </is>
      </c>
      <c r="J46" t="inlineStr"/>
      <c r="K46" t="inlineStr"/>
      <c r="L46" t="inlineStr"/>
      <c r="M46" t="inlineStr"/>
      <c r="N46" t="inlineStr">
        <is>
          <t>4</t>
        </is>
      </c>
      <c r="O46" t="inlineStr">
        <is>
          <t>1</t>
        </is>
      </c>
      <c r="P46" t="inlineStr">
        <is>
          <t>0</t>
        </is>
      </c>
      <c r="Q46" t="inlineStr">
        <is>
          <t>1931</t>
        </is>
      </c>
      <c r="R46" t="inlineStr">
        <is>
          <t>0</t>
        </is>
      </c>
      <c r="S46" t="inlineStr">
        <is>
          <t>0</t>
        </is>
      </c>
      <c r="T46" t="inlineStr"/>
      <c r="U46" t="inlineStr"/>
      <c r="V46" t="inlineStr">
        <is>
          <t>TOOK 8-10 *** DX: ACCIDENTAL INGESTION</t>
        </is>
      </c>
      <c r="W46" t="inlineStr">
        <is>
          <t>V</t>
        </is>
      </c>
      <c r="X46" t="inlineStr">
        <is>
          <t>33</t>
        </is>
      </c>
      <c r="Y46" t="inlineStr">
        <is>
          <t>15.4988</t>
        </is>
      </c>
      <c r="Z46" t="n">
        <v>1</v>
      </c>
      <c r="AA46" t="n">
        <v>0</v>
      </c>
      <c r="AB46" t="inlineStr">
        <is>
          <t>No explicit mention of vitamin or dietary supplement; ingestion alone does not imply label=1</t>
        </is>
      </c>
    </row>
    <row r="47">
      <c r="A47" t="inlineStr">
        <is>
          <t>70305864</t>
        </is>
      </c>
      <c r="B47" t="inlineStr">
        <is>
          <t>2007-02-28 00:00:00</t>
        </is>
      </c>
      <c r="C47" t="inlineStr">
        <is>
          <t>2</t>
        </is>
      </c>
      <c r="D47" t="inlineStr">
        <is>
          <t>1</t>
        </is>
      </c>
      <c r="E47" t="inlineStr">
        <is>
          <t>2</t>
        </is>
      </c>
      <c r="F47" t="inlineStr"/>
      <c r="G47" t="inlineStr"/>
      <c r="H47" t="inlineStr">
        <is>
          <t>85</t>
        </is>
      </c>
      <c r="I47" t="inlineStr">
        <is>
          <t>68</t>
        </is>
      </c>
      <c r="J47" t="inlineStr"/>
      <c r="K47" t="inlineStr"/>
      <c r="L47" t="inlineStr"/>
      <c r="M47" t="inlineStr"/>
      <c r="N47" t="inlineStr">
        <is>
          <t>5</t>
        </is>
      </c>
      <c r="O47" t="inlineStr">
        <is>
          <t>1</t>
        </is>
      </c>
      <c r="P47" t="inlineStr">
        <is>
          <t>0</t>
        </is>
      </c>
      <c r="Q47" t="inlineStr">
        <is>
          <t>1931</t>
        </is>
      </c>
      <c r="R47" t="inlineStr">
        <is>
          <t>1141</t>
        </is>
      </c>
      <c r="S47" t="inlineStr">
        <is>
          <t>0</t>
        </is>
      </c>
      <c r="T47" t="inlineStr"/>
      <c r="U47" t="inlineStr"/>
      <c r="V47" t="inlineStr">
        <is>
          <t>INGESTED BETA BLOCKER PILL, MULTI VITAMIN AND POTASSIUM PILL FROM GRANDMAS DAILY PILL MINDER</t>
        </is>
      </c>
      <c r="W47" t="inlineStr">
        <is>
          <t>C</t>
        </is>
      </c>
      <c r="X47" t="inlineStr">
        <is>
          <t>20</t>
        </is>
      </c>
      <c r="Y47" t="inlineStr">
        <is>
          <t>5.4609</t>
        </is>
      </c>
      <c r="Z47" t="n">
        <v>1</v>
      </c>
      <c r="AA47" t="n">
        <v>0</v>
      </c>
      <c r="AB47" t="inlineStr">
        <is>
          <t>Mentions 'multivitamin' but also mentions 'beta blocker pill', which is a medication.</t>
        </is>
      </c>
    </row>
    <row r="48">
      <c r="A48" t="inlineStr">
        <is>
          <t>220722453</t>
        </is>
      </c>
      <c r="B48" t="inlineStr">
        <is>
          <t>2022-07-06 00:00:00</t>
        </is>
      </c>
      <c r="C48" t="inlineStr">
        <is>
          <t>51</t>
        </is>
      </c>
      <c r="D48" t="inlineStr">
        <is>
          <t>1</t>
        </is>
      </c>
      <c r="E48" t="inlineStr">
        <is>
          <t>1</t>
        </is>
      </c>
      <c r="F48" t="inlineStr"/>
      <c r="G48" t="inlineStr">
        <is>
          <t>2</t>
        </is>
      </c>
      <c r="H48" t="inlineStr">
        <is>
          <t>85</t>
        </is>
      </c>
      <c r="I48" t="inlineStr">
        <is>
          <t>68</t>
        </is>
      </c>
      <c r="J48" t="inlineStr"/>
      <c r="K48" t="inlineStr"/>
      <c r="L48" t="inlineStr"/>
      <c r="M48" t="inlineStr"/>
      <c r="N48" t="inlineStr">
        <is>
          <t>1</t>
        </is>
      </c>
      <c r="O48" t="inlineStr">
        <is>
          <t>1</t>
        </is>
      </c>
      <c r="P48" t="inlineStr">
        <is>
          <t>0</t>
        </is>
      </c>
      <c r="Q48" t="inlineStr">
        <is>
          <t>960</t>
        </is>
      </c>
      <c r="R48" t="inlineStr">
        <is>
          <t>0</t>
        </is>
      </c>
      <c r="S48" t="inlineStr">
        <is>
          <t>0</t>
        </is>
      </c>
      <c r="T48" t="inlineStr">
        <is>
          <t>0</t>
        </is>
      </c>
      <c r="U48" t="inlineStr">
        <is>
          <t>0</t>
        </is>
      </c>
      <c r="V48" t="inlineStr">
        <is>
          <t>51 YOM INJURED WITH SOB FROM PAINTING HOUSE WITH LATEX PAINT, NOT WEARING MASK, FOR 3 DAYS, AT HOME. DX-CHEST PAIN, EXPOSURE TO PAINT</t>
        </is>
      </c>
      <c r="W48" t="inlineStr">
        <is>
          <t>M</t>
        </is>
      </c>
      <c r="X48" t="inlineStr">
        <is>
          <t>78</t>
        </is>
      </c>
      <c r="Y48" t="inlineStr">
        <is>
          <t>80.97</t>
        </is>
      </c>
      <c r="Z48" t="n">
        <v>0</v>
      </c>
      <c r="AA48" t="n">
        <v>0</v>
      </c>
      <c r="AB48" t="inlineStr">
        <is>
          <t>No mention of vitamins or supplements.</t>
        </is>
      </c>
    </row>
    <row r="49">
      <c r="A49" t="inlineStr">
        <is>
          <t>191206258</t>
        </is>
      </c>
      <c r="B49" t="inlineStr">
        <is>
          <t>2019-09-07 00:00:00</t>
        </is>
      </c>
      <c r="C49" t="inlineStr">
        <is>
          <t>12</t>
        </is>
      </c>
      <c r="D49" t="inlineStr">
        <is>
          <t>2</t>
        </is>
      </c>
      <c r="E49" t="inlineStr">
        <is>
          <t>2</t>
        </is>
      </c>
      <c r="F49" t="inlineStr"/>
      <c r="G49" t="inlineStr">
        <is>
          <t>2</t>
        </is>
      </c>
      <c r="H49" t="inlineStr">
        <is>
          <t>85</t>
        </is>
      </c>
      <c r="I49" t="inlineStr">
        <is>
          <t>68</t>
        </is>
      </c>
      <c r="J49" t="inlineStr"/>
      <c r="K49" t="inlineStr"/>
      <c r="L49" t="inlineStr"/>
      <c r="M49" t="inlineStr"/>
      <c r="N49" t="inlineStr">
        <is>
          <t>1</t>
        </is>
      </c>
      <c r="O49" t="inlineStr">
        <is>
          <t>1</t>
        </is>
      </c>
      <c r="P49" t="inlineStr">
        <is>
          <t>0</t>
        </is>
      </c>
      <c r="Q49" t="inlineStr">
        <is>
          <t>956</t>
        </is>
      </c>
      <c r="R49" t="inlineStr">
        <is>
          <t>0</t>
        </is>
      </c>
      <c r="S49" t="inlineStr">
        <is>
          <t>0</t>
        </is>
      </c>
      <c r="T49" t="inlineStr">
        <is>
          <t>0</t>
        </is>
      </c>
      <c r="U49" t="inlineStr">
        <is>
          <t>0</t>
        </is>
      </c>
      <c r="V49" t="inlineStr">
        <is>
          <t>12YO FEMALE, MOTHER PUT BLEACH IN *** BOTTLE TO TAKE TO WORK, PATIENT THOUGHT IT WAS *** PUT IN FRIDGE, PATIENT INGESTED APROXIMATELY 20 CC OF BLEACH AND IMMEDIATELY THREW IT UP.DX: ACCIDENTAL INGESTION OF SUBSTANCE;</t>
        </is>
      </c>
      <c r="W49" t="inlineStr">
        <is>
          <t>C</t>
        </is>
      </c>
      <c r="X49" t="inlineStr">
        <is>
          <t>10</t>
        </is>
      </c>
      <c r="Y49" t="inlineStr">
        <is>
          <t>4.8283</t>
        </is>
      </c>
      <c r="Z49" t="n">
        <v>0</v>
      </c>
      <c r="AA49" t="n">
        <v>0</v>
      </c>
      <c r="AB49" t="inlineStr">
        <is>
          <t>Bleach is a household chemical, not a supplement.</t>
        </is>
      </c>
    </row>
    <row r="50">
      <c r="A50" t="inlineStr">
        <is>
          <t>180402581</t>
        </is>
      </c>
      <c r="B50" t="inlineStr">
        <is>
          <t>2018-03-25 00:00:00</t>
        </is>
      </c>
      <c r="C50" t="inlineStr">
        <is>
          <t>3</t>
        </is>
      </c>
      <c r="D50" t="inlineStr">
        <is>
          <t>2</t>
        </is>
      </c>
      <c r="E50" t="inlineStr">
        <is>
          <t>1</t>
        </is>
      </c>
      <c r="F50" t="inlineStr"/>
      <c r="G50" t="inlineStr"/>
      <c r="H50" t="inlineStr">
        <is>
          <t>85</t>
        </is>
      </c>
      <c r="I50" t="inlineStr">
        <is>
          <t>68</t>
        </is>
      </c>
      <c r="J50" t="inlineStr"/>
      <c r="K50" t="inlineStr"/>
      <c r="L50" t="inlineStr"/>
      <c r="M50" t="inlineStr"/>
      <c r="N50" t="inlineStr">
        <is>
          <t>4</t>
        </is>
      </c>
      <c r="O50" t="inlineStr">
        <is>
          <t>1</t>
        </is>
      </c>
      <c r="P50" t="inlineStr">
        <is>
          <t>0</t>
        </is>
      </c>
      <c r="Q50" t="inlineStr">
        <is>
          <t>1931</t>
        </is>
      </c>
      <c r="R50" t="inlineStr">
        <is>
          <t>1864</t>
        </is>
      </c>
      <c r="S50" t="inlineStr">
        <is>
          <t>0</t>
        </is>
      </c>
      <c r="T50" t="inlineStr"/>
      <c r="U50" t="inlineStr"/>
      <c r="V50" t="inlineStr">
        <is>
          <t>3YR F INGESTED GRANDFATHERS PILLS OFF BATHROOM COUNTER, INCLUDING GLIPIZIDE AND LOSARTAN;DX DRUG INGESTION</t>
        </is>
      </c>
      <c r="W50" t="inlineStr">
        <is>
          <t>C</t>
        </is>
      </c>
      <c r="X50" t="inlineStr">
        <is>
          <t>20</t>
        </is>
      </c>
      <c r="Y50" t="inlineStr">
        <is>
          <t>4.9383</t>
        </is>
      </c>
      <c r="Z50" t="n">
        <v>1</v>
      </c>
      <c r="AA50" t="n">
        <v>0</v>
      </c>
      <c r="AB50" t="inlineStr">
        <is>
          <t>Mentions 'glipiizide' and 'losartan', which are prescription medications, not supplements.</t>
        </is>
      </c>
    </row>
    <row r="51">
      <c r="A51" t="inlineStr">
        <is>
          <t>130623047</t>
        </is>
      </c>
      <c r="B51" t="inlineStr">
        <is>
          <t>2013-06-03 00:00:00</t>
        </is>
      </c>
      <c r="C51" t="inlineStr">
        <is>
          <t>12</t>
        </is>
      </c>
      <c r="D51" t="inlineStr">
        <is>
          <t>2</t>
        </is>
      </c>
      <c r="E51" t="inlineStr">
        <is>
          <t>1</t>
        </is>
      </c>
      <c r="F51" t="inlineStr"/>
      <c r="G51" t="inlineStr"/>
      <c r="H51" t="inlineStr">
        <is>
          <t>85</t>
        </is>
      </c>
      <c r="I51" t="inlineStr">
        <is>
          <t>68</t>
        </is>
      </c>
      <c r="J51" t="inlineStr"/>
      <c r="K51" t="inlineStr"/>
      <c r="L51" t="inlineStr"/>
      <c r="M51" t="inlineStr"/>
      <c r="N51" t="inlineStr">
        <is>
          <t>1</t>
        </is>
      </c>
      <c r="O51" t="inlineStr">
        <is>
          <t>1</t>
        </is>
      </c>
      <c r="P51" t="inlineStr">
        <is>
          <t>0</t>
        </is>
      </c>
      <c r="Q51" t="inlineStr">
        <is>
          <t>1107</t>
        </is>
      </c>
      <c r="R51" t="inlineStr">
        <is>
          <t>0</t>
        </is>
      </c>
      <c r="S51" t="inlineStr">
        <is>
          <t>0</t>
        </is>
      </c>
      <c r="T51" t="inlineStr"/>
      <c r="U51" t="inlineStr"/>
      <c r="V51">
        <f>12 YOF MOM PREPARING TO LEAVE TOWN, ACCIDENTALLY PUT 2 NIGHTS WORTHMEDS IN PTS PILL BOX. DX ACCIDENTAL EXCESSIVE MED INGESTION.</f>
        <v/>
      </c>
      <c r="W51" t="inlineStr">
        <is>
          <t>V</t>
        </is>
      </c>
      <c r="X51" t="inlineStr">
        <is>
          <t>64</t>
        </is>
      </c>
      <c r="Y51" t="inlineStr">
        <is>
          <t>14.8537</t>
        </is>
      </c>
      <c r="Z51" t="n">
        <v>0</v>
      </c>
      <c r="AA51" t="n">
        <v>0</v>
      </c>
      <c r="AB51" t="inlineStr">
        <is>
          <t>Mentions 'meds' which implies prescription medication, not a supplement.</t>
        </is>
      </c>
    </row>
    <row r="52">
      <c r="A52" t="inlineStr">
        <is>
          <t>101219168</t>
        </is>
      </c>
      <c r="B52" t="inlineStr">
        <is>
          <t>2010-12-07 00:00:00</t>
        </is>
      </c>
      <c r="C52" t="inlineStr">
        <is>
          <t>2</t>
        </is>
      </c>
      <c r="D52" t="inlineStr">
        <is>
          <t>1</t>
        </is>
      </c>
      <c r="E52" t="inlineStr">
        <is>
          <t>0</t>
        </is>
      </c>
      <c r="F52" t="inlineStr"/>
      <c r="G52" t="inlineStr"/>
      <c r="H52" t="inlineStr">
        <is>
          <t>85</t>
        </is>
      </c>
      <c r="I52" t="inlineStr">
        <is>
          <t>68</t>
        </is>
      </c>
      <c r="J52" t="inlineStr"/>
      <c r="K52" t="inlineStr"/>
      <c r="L52" t="inlineStr"/>
      <c r="M52" t="inlineStr"/>
      <c r="N52" t="inlineStr">
        <is>
          <t>5</t>
        </is>
      </c>
      <c r="O52" t="inlineStr">
        <is>
          <t>1</t>
        </is>
      </c>
      <c r="P52" t="inlineStr">
        <is>
          <t>0</t>
        </is>
      </c>
      <c r="Q52" t="inlineStr">
        <is>
          <t>1931</t>
        </is>
      </c>
      <c r="R52" t="inlineStr">
        <is>
          <t>0</t>
        </is>
      </c>
      <c r="S52" t="inlineStr">
        <is>
          <t>0</t>
        </is>
      </c>
      <c r="T52" t="inlineStr"/>
      <c r="U52" t="inlineStr"/>
      <c r="V52" t="inlineStr">
        <is>
          <t>2YOM PLAYING AT GREAT AUNTS HOUSE. FOUND PT W/ 2 HALF CHEWED *** 40MG PILLS, MISSING 1 EACH *** 50MG, *** 25MG. DX INGESTION</t>
        </is>
      </c>
      <c r="W52" t="inlineStr">
        <is>
          <t>C</t>
        </is>
      </c>
      <c r="X52" t="inlineStr">
        <is>
          <t>32</t>
        </is>
      </c>
      <c r="Y52" t="inlineStr">
        <is>
          <t>5.3312</t>
        </is>
      </c>
      <c r="Z52" t="n">
        <v>1</v>
      </c>
      <c r="AA52" t="n">
        <v>0</v>
      </c>
      <c r="AB52" t="inlineStr">
        <is>
          <t>No explicit mention of vitamin or supplement; only mentions 'pills' without specifying type.</t>
        </is>
      </c>
    </row>
    <row r="53">
      <c r="A53" t="inlineStr">
        <is>
          <t>120902923</t>
        </is>
      </c>
      <c r="B53" t="inlineStr">
        <is>
          <t>2012-08-25 00:00:00</t>
        </is>
      </c>
      <c r="C53" t="inlineStr">
        <is>
          <t>2</t>
        </is>
      </c>
      <c r="D53" t="inlineStr">
        <is>
          <t>2</t>
        </is>
      </c>
      <c r="E53" t="inlineStr">
        <is>
          <t>0</t>
        </is>
      </c>
      <c r="F53" t="inlineStr"/>
      <c r="G53" t="inlineStr"/>
      <c r="H53" t="inlineStr">
        <is>
          <t>85</t>
        </is>
      </c>
      <c r="I53" t="inlineStr">
        <is>
          <t>68</t>
        </is>
      </c>
      <c r="J53" t="inlineStr"/>
      <c r="K53" t="inlineStr"/>
      <c r="L53" t="inlineStr"/>
      <c r="M53" t="inlineStr"/>
      <c r="N53" t="inlineStr">
        <is>
          <t>4</t>
        </is>
      </c>
      <c r="O53" t="inlineStr">
        <is>
          <t>1</t>
        </is>
      </c>
      <c r="P53" t="inlineStr">
        <is>
          <t>0</t>
        </is>
      </c>
      <c r="Q53" t="inlineStr">
        <is>
          <t>1931</t>
        </is>
      </c>
      <c r="R53" t="inlineStr">
        <is>
          <t>1864</t>
        </is>
      </c>
      <c r="S53" t="inlineStr">
        <is>
          <t>0</t>
        </is>
      </c>
      <c r="T53" t="inlineStr"/>
      <c r="U53" t="inlineStr"/>
      <c r="V53" t="inlineStr">
        <is>
          <t>DX ACC INGESTION: 2YOF POSS INGESTING TABLET OF GUAFACINE 3MG; MOM STATES 4 PILLS F BROTHER OURT ON COUNTER; 2 PILLS MISSING</t>
        </is>
      </c>
      <c r="W53" t="inlineStr">
        <is>
          <t>V</t>
        </is>
      </c>
      <c r="X53" t="inlineStr">
        <is>
          <t>67</t>
        </is>
      </c>
      <c r="Y53" t="inlineStr">
        <is>
          <t>15.5286</t>
        </is>
      </c>
      <c r="Z53" t="n">
        <v>1</v>
      </c>
      <c r="AA53" t="n">
        <v>0</v>
      </c>
      <c r="AB53" t="inlineStr">
        <is>
          <t>Guafacine is a prescription medication, not a supplement.</t>
        </is>
      </c>
    </row>
    <row r="54">
      <c r="A54" t="inlineStr">
        <is>
          <t>81251850</t>
        </is>
      </c>
      <c r="B54" t="inlineStr">
        <is>
          <t>2008-11-03 00:00:00</t>
        </is>
      </c>
      <c r="C54" t="inlineStr">
        <is>
          <t>216</t>
        </is>
      </c>
      <c r="D54" t="inlineStr">
        <is>
          <t>1</t>
        </is>
      </c>
      <c r="E54" t="inlineStr">
        <is>
          <t>0</t>
        </is>
      </c>
      <c r="F54" t="inlineStr"/>
      <c r="G54" t="inlineStr"/>
      <c r="H54" t="inlineStr">
        <is>
          <t>85</t>
        </is>
      </c>
      <c r="I54" t="inlineStr">
        <is>
          <t>68</t>
        </is>
      </c>
      <c r="J54" t="inlineStr"/>
      <c r="K54" t="inlineStr"/>
      <c r="L54" t="inlineStr"/>
      <c r="M54" t="inlineStr"/>
      <c r="N54" t="inlineStr">
        <is>
          <t>1</t>
        </is>
      </c>
      <c r="O54" t="inlineStr">
        <is>
          <t>1</t>
        </is>
      </c>
      <c r="P54" t="inlineStr">
        <is>
          <t>0</t>
        </is>
      </c>
      <c r="Q54" t="inlineStr">
        <is>
          <t>1915</t>
        </is>
      </c>
      <c r="R54" t="inlineStr">
        <is>
          <t>0</t>
        </is>
      </c>
      <c r="S54" t="inlineStr">
        <is>
          <t>0</t>
        </is>
      </c>
      <c r="T54" t="inlineStr"/>
      <c r="U54" t="inlineStr"/>
      <c r="V54" t="inlineStr">
        <is>
          <t>PT PLACED TOPICAL *** ANALYGESIC OINTMENT ALL OVER FACE,UNCLEAR IF INGESTED IT. DX - PROB SKIN EXPOSURE TO ***</t>
        </is>
      </c>
      <c r="W54" t="inlineStr">
        <is>
          <t>V</t>
        </is>
      </c>
      <c r="X54" t="inlineStr">
        <is>
          <t>40</t>
        </is>
      </c>
      <c r="Y54" t="inlineStr">
        <is>
          <t>15.4886</t>
        </is>
      </c>
      <c r="Z54" t="n">
        <v>0</v>
      </c>
      <c r="AA54" t="n">
        <v>0</v>
      </c>
      <c r="AB54" t="inlineStr">
        <is>
          <t>No mention of vitamin or dietary supplement; unclear if topical ointment was ingested.</t>
        </is>
      </c>
    </row>
    <row r="55">
      <c r="A55" t="inlineStr">
        <is>
          <t>80608645</t>
        </is>
      </c>
      <c r="B55" t="inlineStr">
        <is>
          <t>2008-05-30 00:00:00</t>
        </is>
      </c>
      <c r="C55" t="inlineStr">
        <is>
          <t>223</t>
        </is>
      </c>
      <c r="D55" t="inlineStr">
        <is>
          <t>1</t>
        </is>
      </c>
      <c r="E55" t="inlineStr">
        <is>
          <t>1</t>
        </is>
      </c>
      <c r="F55" t="inlineStr"/>
      <c r="G55" t="inlineStr"/>
      <c r="H55" t="inlineStr">
        <is>
          <t>85</t>
        </is>
      </c>
      <c r="I55" t="inlineStr">
        <is>
          <t>68</t>
        </is>
      </c>
      <c r="J55" t="inlineStr"/>
      <c r="K55" t="inlineStr"/>
      <c r="L55" t="inlineStr"/>
      <c r="M55" t="inlineStr"/>
      <c r="N55" t="inlineStr">
        <is>
          <t>4</t>
        </is>
      </c>
      <c r="O55" t="inlineStr">
        <is>
          <t>1</t>
        </is>
      </c>
      <c r="P55" t="inlineStr">
        <is>
          <t>0</t>
        </is>
      </c>
      <c r="Q55" t="inlineStr">
        <is>
          <t>1931</t>
        </is>
      </c>
      <c r="R55" t="inlineStr">
        <is>
          <t>1135</t>
        </is>
      </c>
      <c r="S55" t="inlineStr">
        <is>
          <t>0</t>
        </is>
      </c>
      <c r="T55" t="inlineStr"/>
      <c r="U55" t="inlineStr"/>
      <c r="V55" t="inlineStr">
        <is>
          <t>PTS AUNT NOTICED THAT HER BOTTLE OF *** WAS EMPTY- CONTAINED TWO- CHILD ACTING UNUSUAL VALIUM INGESTION</t>
        </is>
      </c>
      <c r="W55" t="inlineStr">
        <is>
          <t>S</t>
        </is>
      </c>
      <c r="X55" t="inlineStr">
        <is>
          <t>73</t>
        </is>
      </c>
      <c r="Y55" t="inlineStr">
        <is>
          <t>71.7335</t>
        </is>
      </c>
      <c r="Z55" t="n">
        <v>1</v>
      </c>
      <c r="AA55" t="n">
        <v>0</v>
      </c>
      <c r="AB55" t="inlineStr">
        <is>
          <t>Mentions 'VALIUM' which is a prescription medication, not a supplement.</t>
        </is>
      </c>
    </row>
    <row r="56">
      <c r="A56" t="inlineStr">
        <is>
          <t>90310539</t>
        </is>
      </c>
      <c r="B56" t="inlineStr">
        <is>
          <t>2009-02-16 00:00:00</t>
        </is>
      </c>
      <c r="C56" t="inlineStr">
        <is>
          <t>4</t>
        </is>
      </c>
      <c r="D56" t="inlineStr">
        <is>
          <t>2</t>
        </is>
      </c>
      <c r="E56" t="inlineStr">
        <is>
          <t>1</t>
        </is>
      </c>
      <c r="F56" t="inlineStr"/>
      <c r="G56" t="inlineStr"/>
      <c r="H56" t="inlineStr">
        <is>
          <t>85</t>
        </is>
      </c>
      <c r="I56" t="inlineStr">
        <is>
          <t>68</t>
        </is>
      </c>
      <c r="J56" t="inlineStr"/>
      <c r="K56" t="inlineStr"/>
      <c r="L56" t="inlineStr"/>
      <c r="M56" t="inlineStr"/>
      <c r="N56" t="inlineStr">
        <is>
          <t>5</t>
        </is>
      </c>
      <c r="O56" t="inlineStr">
        <is>
          <t>1</t>
        </is>
      </c>
      <c r="P56" t="inlineStr">
        <is>
          <t>0</t>
        </is>
      </c>
      <c r="Q56" t="inlineStr">
        <is>
          <t>1927</t>
        </is>
      </c>
      <c r="R56" t="inlineStr">
        <is>
          <t>0</t>
        </is>
      </c>
      <c r="S56" t="inlineStr">
        <is>
          <t>0</t>
        </is>
      </c>
      <c r="T56" t="inlineStr"/>
      <c r="U56" t="inlineStr"/>
      <c r="V56" t="inlineStr">
        <is>
          <t>PT DRANK APPROX 1 GULP OF *** PER PARENTS, 60ML WERE MISSING FROM BOTTLE AT HOME, NOW W/VOMITING AND ABD PAIN; POISONING</t>
        </is>
      </c>
      <c r="W56" t="inlineStr">
        <is>
          <t>C</t>
        </is>
      </c>
      <c r="X56" t="inlineStr">
        <is>
          <t>8</t>
        </is>
      </c>
      <c r="Y56" t="inlineStr">
        <is>
          <t>6.026</t>
        </is>
      </c>
      <c r="Z56" t="n">
        <v>1</v>
      </c>
      <c r="AA56" t="n">
        <v>0</v>
      </c>
      <c r="AB56" t="inlineStr">
        <is>
          <t>Mentions 'POISONING' which implies ingestion of a toxic substance (windshield fluid) rather than a supplement.</t>
        </is>
      </c>
    </row>
    <row r="57">
      <c r="A57" t="inlineStr">
        <is>
          <t>91235866</t>
        </is>
      </c>
      <c r="B57" t="inlineStr">
        <is>
          <t>2009-12-10 00:00:00</t>
        </is>
      </c>
      <c r="C57" t="inlineStr">
        <is>
          <t>220</t>
        </is>
      </c>
      <c r="D57" t="inlineStr">
        <is>
          <t>2</t>
        </is>
      </c>
      <c r="E57" t="inlineStr">
        <is>
          <t>2</t>
        </is>
      </c>
      <c r="F57" t="inlineStr"/>
      <c r="G57" t="inlineStr"/>
      <c r="H57" t="inlineStr">
        <is>
          <t>85</t>
        </is>
      </c>
      <c r="I57" t="inlineStr">
        <is>
          <t>68</t>
        </is>
      </c>
      <c r="J57" t="inlineStr"/>
      <c r="K57" t="inlineStr"/>
      <c r="L57" t="inlineStr"/>
      <c r="M57" t="inlineStr"/>
      <c r="N57" t="inlineStr">
        <is>
          <t>1</t>
        </is>
      </c>
      <c r="O57" t="inlineStr">
        <is>
          <t>1</t>
        </is>
      </c>
      <c r="P57" t="inlineStr">
        <is>
          <t>0</t>
        </is>
      </c>
      <c r="Q57" t="inlineStr">
        <is>
          <t>1930</t>
        </is>
      </c>
      <c r="R57" t="inlineStr">
        <is>
          <t>0</t>
        </is>
      </c>
      <c r="S57" t="inlineStr">
        <is>
          <t>0</t>
        </is>
      </c>
      <c r="T57" t="inlineStr"/>
      <c r="U57" t="inlineStr"/>
      <c r="V57" t="inlineStr">
        <is>
          <t>PT ACCIDENTALLY SWALLOWED 500 MG *** LESS THAN 30 MINS PTA. DX. ACCIDENTALY DRUG INGESTION.</t>
        </is>
      </c>
      <c r="W57" t="inlineStr">
        <is>
          <t>M</t>
        </is>
      </c>
      <c r="X57" t="inlineStr">
        <is>
          <t>14</t>
        </is>
      </c>
      <c r="Y57" t="inlineStr">
        <is>
          <t>37.9286</t>
        </is>
      </c>
      <c r="Z57" t="n">
        <v>0</v>
      </c>
      <c r="AA57" t="n">
        <v>0</v>
      </c>
      <c r="AB57" t="inlineStr">
        <is>
          <t>Mentions 'drug ingestion' which does not specify a supplement or vitamin, so defaulting to label=0.</t>
        </is>
      </c>
    </row>
    <row r="58">
      <c r="A58" t="inlineStr">
        <is>
          <t>100870024</t>
        </is>
      </c>
      <c r="B58" t="inlineStr">
        <is>
          <t>2010-08-24 00:00:00</t>
        </is>
      </c>
      <c r="C58" t="inlineStr">
        <is>
          <t>2</t>
        </is>
      </c>
      <c r="D58" t="inlineStr">
        <is>
          <t>2</t>
        </is>
      </c>
      <c r="E58" t="inlineStr">
        <is>
          <t>1</t>
        </is>
      </c>
      <c r="F58" t="inlineStr"/>
      <c r="G58" t="inlineStr"/>
      <c r="H58" t="inlineStr">
        <is>
          <t>85</t>
        </is>
      </c>
      <c r="I58" t="inlineStr">
        <is>
          <t>68</t>
        </is>
      </c>
      <c r="J58" t="inlineStr"/>
      <c r="K58" t="inlineStr"/>
      <c r="L58" t="inlineStr"/>
      <c r="M58" t="inlineStr"/>
      <c r="N58" t="inlineStr">
        <is>
          <t>1</t>
        </is>
      </c>
      <c r="O58" t="inlineStr">
        <is>
          <t>0</t>
        </is>
      </c>
      <c r="P58" t="inlineStr">
        <is>
          <t>0</t>
        </is>
      </c>
      <c r="Q58" t="inlineStr">
        <is>
          <t>1931</t>
        </is>
      </c>
      <c r="R58" t="inlineStr">
        <is>
          <t>0</t>
        </is>
      </c>
      <c r="S58" t="inlineStr">
        <is>
          <t>0</t>
        </is>
      </c>
      <c r="T58" t="inlineStr"/>
      <c r="U58" t="inlineStr"/>
      <c r="V58" t="inlineStr">
        <is>
          <t>2 YR F INGESTED *** PILLS, UNK AMT;DX POISONING</t>
        </is>
      </c>
      <c r="W58" t="inlineStr">
        <is>
          <t>C</t>
        </is>
      </c>
      <c r="X58" t="inlineStr">
        <is>
          <t>20</t>
        </is>
      </c>
      <c r="Y58" t="inlineStr">
        <is>
          <t>6.0928</t>
        </is>
      </c>
      <c r="Z58" t="n">
        <v>1</v>
      </c>
      <c r="AA58" t="n">
        <v>0</v>
      </c>
      <c r="AB58" t="inlineStr">
        <is>
          <t>Mentions '*** pills' which does not specify a vitamin/supplement, and no iron is mentioned.</t>
        </is>
      </c>
    </row>
    <row r="59">
      <c r="A59" t="inlineStr">
        <is>
          <t>50604422</t>
        </is>
      </c>
      <c r="B59" t="inlineStr">
        <is>
          <t>2005-04-19 00:00:00</t>
        </is>
      </c>
      <c r="C59" t="inlineStr">
        <is>
          <t>220</t>
        </is>
      </c>
      <c r="D59" t="inlineStr">
        <is>
          <t>1</t>
        </is>
      </c>
      <c r="E59" t="inlineStr">
        <is>
          <t>2</t>
        </is>
      </c>
      <c r="F59" t="inlineStr"/>
      <c r="G59" t="inlineStr"/>
      <c r="H59" t="inlineStr">
        <is>
          <t>85</t>
        </is>
      </c>
      <c r="I59" t="inlineStr">
        <is>
          <t>68</t>
        </is>
      </c>
      <c r="J59" t="inlineStr"/>
      <c r="K59" t="inlineStr"/>
      <c r="L59" t="inlineStr"/>
      <c r="M59" t="inlineStr"/>
      <c r="N59" t="inlineStr">
        <is>
          <t>1</t>
        </is>
      </c>
      <c r="O59" t="inlineStr">
        <is>
          <t>1</t>
        </is>
      </c>
      <c r="P59" t="inlineStr">
        <is>
          <t>0</t>
        </is>
      </c>
      <c r="Q59" t="inlineStr">
        <is>
          <t>945</t>
        </is>
      </c>
      <c r="R59" t="inlineStr">
        <is>
          <t>0</t>
        </is>
      </c>
      <c r="S59" t="inlineStr">
        <is>
          <t>0</t>
        </is>
      </c>
      <c r="T59" t="inlineStr"/>
      <c r="U59" t="inlineStr"/>
      <c r="V59" t="inlineStr">
        <is>
          <t>PT INGESTED *** THIS AM, INGESTION</t>
        </is>
      </c>
      <c r="W59" t="inlineStr">
        <is>
          <t>C</t>
        </is>
      </c>
      <c r="X59" t="inlineStr">
        <is>
          <t>31</t>
        </is>
      </c>
      <c r="Y59" t="inlineStr">
        <is>
          <t>5.8147</t>
        </is>
      </c>
      <c r="Z59" t="n">
        <v>0</v>
      </c>
      <c r="AA59" t="n">
        <v>0</v>
      </c>
      <c r="AB59" t="inlineStr">
        <is>
          <t>Ingestion alone does NOT imply label=1; no explicit mention of vitamin/supplement</t>
        </is>
      </c>
    </row>
    <row r="60">
      <c r="A60" t="inlineStr">
        <is>
          <t>161029940</t>
        </is>
      </c>
      <c r="B60" t="inlineStr">
        <is>
          <t>2016-10-12 00:00:00</t>
        </is>
      </c>
      <c r="C60" t="inlineStr">
        <is>
          <t>4</t>
        </is>
      </c>
      <c r="D60" t="inlineStr">
        <is>
          <t>1</t>
        </is>
      </c>
      <c r="E60" t="inlineStr">
        <is>
          <t>0</t>
        </is>
      </c>
      <c r="F60" t="inlineStr"/>
      <c r="G60" t="inlineStr"/>
      <c r="H60" t="inlineStr">
        <is>
          <t>85</t>
        </is>
      </c>
      <c r="I60" t="inlineStr">
        <is>
          <t>68</t>
        </is>
      </c>
      <c r="J60" t="inlineStr"/>
      <c r="K60" t="inlineStr"/>
      <c r="L60" t="inlineStr"/>
      <c r="M60" t="inlineStr"/>
      <c r="N60" t="inlineStr">
        <is>
          <t>4</t>
        </is>
      </c>
      <c r="O60" t="inlineStr">
        <is>
          <t>1</t>
        </is>
      </c>
      <c r="P60" t="inlineStr">
        <is>
          <t>0</t>
        </is>
      </c>
      <c r="Q60" t="inlineStr">
        <is>
          <t>1930</t>
        </is>
      </c>
      <c r="R60" t="inlineStr">
        <is>
          <t>1927</t>
        </is>
      </c>
      <c r="S60" t="inlineStr">
        <is>
          <t>0</t>
        </is>
      </c>
      <c r="T60" t="inlineStr"/>
      <c r="U60" t="inlineStr"/>
      <c r="V60" t="inlineStr">
        <is>
          <t>4YM, FD BY MOM C GRAPE COLORED LIQUID AROUND MOUTH&amp;DISCOVERD PT DRANK 1/2 BOTTLE OF CHILDREN ***&amp;1/2 BOTTLE OF ***&gt;&gt; ACC ING/OD</t>
        </is>
      </c>
      <c r="W60" t="inlineStr">
        <is>
          <t>V</t>
        </is>
      </c>
      <c r="X60" t="inlineStr">
        <is>
          <t>21</t>
        </is>
      </c>
      <c r="Y60" t="inlineStr">
        <is>
          <t>16.1154</t>
        </is>
      </c>
      <c r="Z60" t="n">
        <v>1</v>
      </c>
      <c r="AA60" t="n">
        <v>0</v>
      </c>
      <c r="AB60" t="inlineStr">
        <is>
          <t>No explicit mention of a vitamin or supplement, and presence of 'laundry detergent' which is a chemical.</t>
        </is>
      </c>
    </row>
    <row r="61">
      <c r="A61" t="inlineStr">
        <is>
          <t>190119936</t>
        </is>
      </c>
      <c r="B61" t="inlineStr">
        <is>
          <t>2018-12-06 00:00:00</t>
        </is>
      </c>
      <c r="C61" t="inlineStr">
        <is>
          <t>3</t>
        </is>
      </c>
      <c r="D61" t="inlineStr">
        <is>
          <t>1</t>
        </is>
      </c>
      <c r="E61" t="inlineStr">
        <is>
          <t>2</t>
        </is>
      </c>
      <c r="F61" t="inlineStr"/>
      <c r="G61" t="inlineStr"/>
      <c r="H61" t="inlineStr">
        <is>
          <t>85</t>
        </is>
      </c>
      <c r="I61" t="inlineStr">
        <is>
          <t>68</t>
        </is>
      </c>
      <c r="J61" t="inlineStr"/>
      <c r="K61" t="inlineStr"/>
      <c r="L61" t="inlineStr"/>
      <c r="M61" t="inlineStr"/>
      <c r="N61" t="inlineStr">
        <is>
          <t>1</t>
        </is>
      </c>
      <c r="O61" t="inlineStr">
        <is>
          <t>0</t>
        </is>
      </c>
      <c r="P61" t="inlineStr">
        <is>
          <t>0</t>
        </is>
      </c>
      <c r="Q61" t="inlineStr">
        <is>
          <t>1930</t>
        </is>
      </c>
      <c r="R61" t="inlineStr">
        <is>
          <t>0</t>
        </is>
      </c>
      <c r="S61" t="inlineStr">
        <is>
          <t>0</t>
        </is>
      </c>
      <c r="T61" t="inlineStr"/>
      <c r="U61" t="inlineStr"/>
      <c r="V61" t="inlineStr">
        <is>
          <t>3YOM WAS FOUND DROWSY NEAR AN OPEN BOTTLE OF *** 10MG, 1 PILL WAS MISSING; ACCIDENTAL DRUG INGESTION, +OPIATES</t>
        </is>
      </c>
      <c r="W61" t="inlineStr">
        <is>
          <t>C</t>
        </is>
      </c>
      <c r="X61" t="inlineStr">
        <is>
          <t>8</t>
        </is>
      </c>
      <c r="Y61" t="inlineStr">
        <is>
          <t>4.9383</t>
        </is>
      </c>
      <c r="Z61" t="n">
        <v>0</v>
      </c>
      <c r="AA61" t="n">
        <v>0</v>
      </c>
      <c r="AB61" t="inlineStr">
        <is>
          <t>Mentions 'drug ingestion' which is not a supplement, and also mentions opiates which are medication.</t>
        </is>
      </c>
    </row>
    <row r="62">
      <c r="A62" t="inlineStr">
        <is>
          <t>140326290</t>
        </is>
      </c>
      <c r="B62" t="inlineStr">
        <is>
          <t>2014-03-10 00:00:00</t>
        </is>
      </c>
      <c r="C62" t="inlineStr">
        <is>
          <t>220</t>
        </is>
      </c>
      <c r="D62" t="inlineStr">
        <is>
          <t>2</t>
        </is>
      </c>
      <c r="E62" t="inlineStr">
        <is>
          <t>1</t>
        </is>
      </c>
      <c r="F62" t="inlineStr"/>
      <c r="G62" t="inlineStr"/>
      <c r="H62" t="inlineStr">
        <is>
          <t>85</t>
        </is>
      </c>
      <c r="I62" t="inlineStr">
        <is>
          <t>68</t>
        </is>
      </c>
      <c r="J62" t="inlineStr"/>
      <c r="K62" t="inlineStr"/>
      <c r="L62" t="inlineStr"/>
      <c r="M62" t="inlineStr"/>
      <c r="N62" t="inlineStr">
        <is>
          <t>1</t>
        </is>
      </c>
      <c r="O62" t="inlineStr">
        <is>
          <t>1</t>
        </is>
      </c>
      <c r="P62" t="inlineStr">
        <is>
          <t>0</t>
        </is>
      </c>
      <c r="Q62" t="inlineStr">
        <is>
          <t>1931</t>
        </is>
      </c>
      <c r="R62" t="inlineStr">
        <is>
          <t>1864</t>
        </is>
      </c>
      <c r="S62" t="inlineStr">
        <is>
          <t>0</t>
        </is>
      </c>
      <c r="T62" t="inlineStr"/>
      <c r="U62" t="inlineStr"/>
      <c r="V62" t="inlineStr">
        <is>
          <t>20MOF-FAM NOTED A *** 180 WAS MISSING-PILL WAS LYING ON COUNTR/TABLE &amp;NOW CAN'T FIND IT-SUSPECT INGESTED BY CHILD DX DRUG OD ACCIDENTAL</t>
        </is>
      </c>
      <c r="W62" t="inlineStr">
        <is>
          <t>S</t>
        </is>
      </c>
      <c r="X62" t="inlineStr">
        <is>
          <t>1</t>
        </is>
      </c>
      <c r="Y62" t="inlineStr">
        <is>
          <t>80.0213</t>
        </is>
      </c>
      <c r="Z62" t="n">
        <v>1</v>
      </c>
      <c r="AA62" t="n">
        <v>0</v>
      </c>
      <c r="AB62" t="inlineStr">
        <is>
          <t>No explicit mention of a vitamin or supplement, and mentions 'drug od' which implies prescription medication ingestion.</t>
        </is>
      </c>
    </row>
    <row r="63">
      <c r="A63" t="inlineStr">
        <is>
          <t>140355198</t>
        </is>
      </c>
      <c r="B63" t="inlineStr">
        <is>
          <t>2014-03-03 00:00:00</t>
        </is>
      </c>
      <c r="C63" t="inlineStr">
        <is>
          <t>65</t>
        </is>
      </c>
      <c r="D63" t="inlineStr">
        <is>
          <t>1</t>
        </is>
      </c>
      <c r="E63" t="inlineStr">
        <is>
          <t>1</t>
        </is>
      </c>
      <c r="F63" t="inlineStr"/>
      <c r="G63" t="inlineStr"/>
      <c r="H63" t="inlineStr">
        <is>
          <t>85</t>
        </is>
      </c>
      <c r="I63" t="inlineStr">
        <is>
          <t>68</t>
        </is>
      </c>
      <c r="J63" t="inlineStr"/>
      <c r="K63" t="inlineStr"/>
      <c r="L63" t="inlineStr"/>
      <c r="M63" t="inlineStr"/>
      <c r="N63" t="inlineStr">
        <is>
          <t>1</t>
        </is>
      </c>
      <c r="O63" t="inlineStr">
        <is>
          <t>1</t>
        </is>
      </c>
      <c r="P63" t="inlineStr">
        <is>
          <t>0</t>
        </is>
      </c>
      <c r="Q63" t="inlineStr">
        <is>
          <t>464</t>
        </is>
      </c>
      <c r="R63" t="inlineStr">
        <is>
          <t>0</t>
        </is>
      </c>
      <c r="S63" t="inlineStr">
        <is>
          <t>0</t>
        </is>
      </c>
      <c r="T63" t="inlineStr"/>
      <c r="U63" t="inlineStr"/>
      <c r="V63" t="inlineStr">
        <is>
          <t>65 YOM MAKING DAUGHTER LUNCH, DROPPED KNIFE ON FOOT, WON'T STOP BLEEDING. DX SUPRATHERAPEUTIC INR</t>
        </is>
      </c>
      <c r="W63" t="inlineStr">
        <is>
          <t>L</t>
        </is>
      </c>
      <c r="X63" t="inlineStr">
        <is>
          <t>44</t>
        </is>
      </c>
      <c r="Y63" t="inlineStr">
        <is>
          <t>74.3851</t>
        </is>
      </c>
      <c r="Z63" t="n">
        <v>0</v>
      </c>
      <c r="AA63" t="n">
        <v>0</v>
      </c>
      <c r="AB63" t="inlineStr">
        <is>
          <t>No mention of vitamins or supplements.</t>
        </is>
      </c>
    </row>
    <row r="64">
      <c r="A64" t="inlineStr">
        <is>
          <t>140810379</t>
        </is>
      </c>
      <c r="B64" t="inlineStr">
        <is>
          <t>2014-07-08 00:00:00</t>
        </is>
      </c>
      <c r="C64" t="inlineStr">
        <is>
          <t>27</t>
        </is>
      </c>
      <c r="D64" t="inlineStr">
        <is>
          <t>1</t>
        </is>
      </c>
      <c r="E64" t="inlineStr">
        <is>
          <t>1</t>
        </is>
      </c>
      <c r="F64" t="inlineStr"/>
      <c r="G64" t="inlineStr"/>
      <c r="H64" t="inlineStr">
        <is>
          <t>85</t>
        </is>
      </c>
      <c r="I64" t="inlineStr">
        <is>
          <t>68</t>
        </is>
      </c>
      <c r="J64" t="inlineStr"/>
      <c r="K64" t="inlineStr"/>
      <c r="L64" t="inlineStr"/>
      <c r="M64" t="inlineStr"/>
      <c r="N64" t="inlineStr">
        <is>
          <t>4</t>
        </is>
      </c>
      <c r="O64" t="inlineStr">
        <is>
          <t>1</t>
        </is>
      </c>
      <c r="P64" t="inlineStr">
        <is>
          <t>0</t>
        </is>
      </c>
      <c r="Q64" t="inlineStr">
        <is>
          <t>1133</t>
        </is>
      </c>
      <c r="R64" t="inlineStr">
        <is>
          <t>0</t>
        </is>
      </c>
      <c r="S64" t="inlineStr">
        <is>
          <t>0</t>
        </is>
      </c>
      <c r="T64" t="inlineStr"/>
      <c r="U64" t="inlineStr"/>
      <c r="V64" t="inlineStr">
        <is>
          <t>27YOM FOUND UNRESPONSIVE BY FAMILY WITH VODKA BOTTLES / COMMERCIAL COMPUTER DUSTING SPRAY DX; INTOXICATED- 425</t>
        </is>
      </c>
      <c r="W64" t="inlineStr">
        <is>
          <t>M</t>
        </is>
      </c>
      <c r="X64" t="inlineStr">
        <is>
          <t>54</t>
        </is>
      </c>
      <c r="Y64" t="inlineStr">
        <is>
          <t>50.1602</t>
        </is>
      </c>
      <c r="Z64" t="n">
        <v>0</v>
      </c>
      <c r="AA64" t="n">
        <v>0</v>
      </c>
      <c r="AB64" t="inlineStr">
        <is>
          <t>Neither 'vodka' nor 'commercial computer dusting spray' are supplements.</t>
        </is>
      </c>
    </row>
    <row r="65">
      <c r="A65" t="inlineStr">
        <is>
          <t>180149599</t>
        </is>
      </c>
      <c r="B65" t="inlineStr">
        <is>
          <t>2018-01-19 00:00:00</t>
        </is>
      </c>
      <c r="C65" t="inlineStr">
        <is>
          <t>218</t>
        </is>
      </c>
      <c r="D65" t="inlineStr">
        <is>
          <t>2</t>
        </is>
      </c>
      <c r="E65" t="inlineStr">
        <is>
          <t>1</t>
        </is>
      </c>
      <c r="F65" t="inlineStr"/>
      <c r="G65" t="inlineStr"/>
      <c r="H65" t="inlineStr">
        <is>
          <t>85</t>
        </is>
      </c>
      <c r="I65" t="inlineStr">
        <is>
          <t>68</t>
        </is>
      </c>
      <c r="J65" t="inlineStr"/>
      <c r="K65" t="inlineStr"/>
      <c r="L65" t="inlineStr"/>
      <c r="M65" t="inlineStr"/>
      <c r="N65" t="inlineStr">
        <is>
          <t>1</t>
        </is>
      </c>
      <c r="O65" t="inlineStr">
        <is>
          <t>1</t>
        </is>
      </c>
      <c r="P65" t="inlineStr">
        <is>
          <t>0</t>
        </is>
      </c>
      <c r="Q65" t="inlineStr">
        <is>
          <t>1135</t>
        </is>
      </c>
      <c r="R65" t="inlineStr">
        <is>
          <t>1928</t>
        </is>
      </c>
      <c r="S65" t="inlineStr">
        <is>
          <t>0</t>
        </is>
      </c>
      <c r="T65" t="inlineStr"/>
      <c r="U65" t="inlineStr"/>
      <c r="V65" t="inlineStr">
        <is>
          <t>18MOF FOUND TO HAVE OPENED BOTTLES OF GENERIC XANTAX AND MELATONIN. BOTTLE SCATTERED W/IN REACH.?AMOUNT INGESTED/ POISONING HISTAMINE, SEDATIV</t>
        </is>
      </c>
      <c r="W65" t="inlineStr">
        <is>
          <t>L</t>
        </is>
      </c>
      <c r="X65" t="inlineStr">
        <is>
          <t>42</t>
        </is>
      </c>
      <c r="Y65" t="inlineStr">
        <is>
          <t>62.3461</t>
        </is>
      </c>
      <c r="Z65" t="n">
        <v>0</v>
      </c>
      <c r="AA65" t="n">
        <v>1</v>
      </c>
      <c r="AB65" t="inlineStr">
        <is>
          <t>Mentions 'melatonin' which is a supplement without iron.</t>
        </is>
      </c>
    </row>
    <row r="66">
      <c r="A66" t="inlineStr">
        <is>
          <t>161136283</t>
        </is>
      </c>
      <c r="B66" t="inlineStr">
        <is>
          <t>2016-10-17 00:00:00</t>
        </is>
      </c>
      <c r="C66" t="inlineStr">
        <is>
          <t>31</t>
        </is>
      </c>
      <c r="D66" t="inlineStr">
        <is>
          <t>1</t>
        </is>
      </c>
      <c r="E66" t="inlineStr">
        <is>
          <t>1</t>
        </is>
      </c>
      <c r="F66" t="inlineStr"/>
      <c r="G66" t="inlineStr"/>
      <c r="H66" t="inlineStr">
        <is>
          <t>85</t>
        </is>
      </c>
      <c r="I66" t="inlineStr">
        <is>
          <t>68</t>
        </is>
      </c>
      <c r="J66" t="inlineStr"/>
      <c r="K66" t="inlineStr"/>
      <c r="L66" t="inlineStr"/>
      <c r="M66" t="inlineStr"/>
      <c r="N66" t="inlineStr">
        <is>
          <t>1</t>
        </is>
      </c>
      <c r="O66" t="inlineStr">
        <is>
          <t>1</t>
        </is>
      </c>
      <c r="P66" t="inlineStr">
        <is>
          <t>0</t>
        </is>
      </c>
      <c r="Q66" t="inlineStr">
        <is>
          <t>956</t>
        </is>
      </c>
      <c r="R66" t="inlineStr">
        <is>
          <t>954</t>
        </is>
      </c>
      <c r="S66" t="inlineStr">
        <is>
          <t>0</t>
        </is>
      </c>
      <c r="T66" t="inlineStr"/>
      <c r="U66" t="inlineStr"/>
      <c r="V66" t="inlineStr">
        <is>
          <t>31YOM C/O DIFFUSE REDNESS /SKIN ITCHING &amp; SWELLING OF EYES AFTER USINGBLEACH &amp; CLEANING SOLUTION. DX; ALLERGIC RXN /LARYNGEAL EDEMA</t>
        </is>
      </c>
      <c r="W66" t="inlineStr">
        <is>
          <t>M</t>
        </is>
      </c>
      <c r="X66" t="inlineStr">
        <is>
          <t>54</t>
        </is>
      </c>
      <c r="Y66" t="inlineStr">
        <is>
          <t>46.7384</t>
        </is>
      </c>
      <c r="Z66" t="n">
        <v>0</v>
      </c>
      <c r="AA66" t="n">
        <v>0</v>
      </c>
      <c r="AB66" t="inlineStr">
        <is>
          <t>Mentions 'bleach' and 'cleaning solution', which are household chemicals, not supplements.</t>
        </is>
      </c>
    </row>
    <row r="67">
      <c r="A67" t="inlineStr">
        <is>
          <t>80341766</t>
        </is>
      </c>
      <c r="B67" t="inlineStr">
        <is>
          <t>2008-03-17 00:00:00</t>
        </is>
      </c>
      <c r="C67" t="inlineStr">
        <is>
          <t>212</t>
        </is>
      </c>
      <c r="D67" t="inlineStr">
        <is>
          <t>1</t>
        </is>
      </c>
      <c r="E67" t="inlineStr">
        <is>
          <t>0</t>
        </is>
      </c>
      <c r="F67" t="inlineStr">
        <is>
          <t>UNKNOWN</t>
        </is>
      </c>
      <c r="G67" t="inlineStr"/>
      <c r="H67" t="inlineStr">
        <is>
          <t>85</t>
        </is>
      </c>
      <c r="I67" t="inlineStr">
        <is>
          <t>68</t>
        </is>
      </c>
      <c r="J67" t="inlineStr"/>
      <c r="K67" t="inlineStr"/>
      <c r="L67" t="inlineStr"/>
      <c r="M67" t="inlineStr"/>
      <c r="N67" t="inlineStr">
        <is>
          <t>6</t>
        </is>
      </c>
      <c r="O67" t="inlineStr">
        <is>
          <t>0</t>
        </is>
      </c>
      <c r="P67" t="inlineStr">
        <is>
          <t>0</t>
        </is>
      </c>
      <c r="Q67" t="inlineStr">
        <is>
          <t>1932</t>
        </is>
      </c>
      <c r="R67" t="inlineStr">
        <is>
          <t>0</t>
        </is>
      </c>
      <c r="S67" t="inlineStr">
        <is>
          <t>0</t>
        </is>
      </c>
      <c r="T67" t="inlineStr"/>
      <c r="U67" t="inlineStr"/>
      <c r="V67" t="inlineStr">
        <is>
          <t>DX LWBS: INGESTION OF *** X 15MIN, SM AMNT. DAD STATES HAD EMESISWHILE IN TRIAGE ROOM. CHILD IS ALERT IN TRIAGE</t>
        </is>
      </c>
      <c r="W67" t="inlineStr">
        <is>
          <t>V</t>
        </is>
      </c>
      <c r="X67" t="inlineStr">
        <is>
          <t>67</t>
        </is>
      </c>
      <c r="Y67" t="inlineStr">
        <is>
          <t>14.8152</t>
        </is>
      </c>
      <c r="Z67" t="n">
        <v>1</v>
      </c>
      <c r="AA67" t="n">
        <v>0</v>
      </c>
      <c r="AB67" t="inlineStr">
        <is>
          <t>No mention of vitamins or supplements; ingestion is too vague.</t>
        </is>
      </c>
    </row>
    <row r="68">
      <c r="A68" t="inlineStr">
        <is>
          <t>170355915</t>
        </is>
      </c>
      <c r="B68" t="inlineStr">
        <is>
          <t>2017-03-13 00:00:00</t>
        </is>
      </c>
      <c r="C68" t="inlineStr">
        <is>
          <t>27</t>
        </is>
      </c>
      <c r="D68" t="inlineStr">
        <is>
          <t>1</t>
        </is>
      </c>
      <c r="E68" t="inlineStr">
        <is>
          <t>1</t>
        </is>
      </c>
      <c r="F68" t="inlineStr"/>
      <c r="G68" t="inlineStr"/>
      <c r="H68" t="inlineStr">
        <is>
          <t>85</t>
        </is>
      </c>
      <c r="I68" t="inlineStr">
        <is>
          <t>68</t>
        </is>
      </c>
      <c r="J68" t="inlineStr"/>
      <c r="K68" t="inlineStr"/>
      <c r="L68" t="inlineStr"/>
      <c r="M68" t="inlineStr"/>
      <c r="N68" t="inlineStr">
        <is>
          <t>1</t>
        </is>
      </c>
      <c r="O68" t="inlineStr">
        <is>
          <t>0</t>
        </is>
      </c>
      <c r="P68" t="inlineStr">
        <is>
          <t>0</t>
        </is>
      </c>
      <c r="Q68" t="inlineStr">
        <is>
          <t>921</t>
        </is>
      </c>
      <c r="R68" t="inlineStr">
        <is>
          <t>0</t>
        </is>
      </c>
      <c r="S68" t="inlineStr">
        <is>
          <t>0</t>
        </is>
      </c>
      <c r="T68" t="inlineStr"/>
      <c r="U68" t="inlineStr"/>
      <c r="V68" t="inlineStr">
        <is>
          <t>27 YO M PT IS HUFFING NITROUS OXIDE YESTERDAY DEVELOPED NAUSEA,VOMITINGEPIGASTIS ABDOMEN PAIN DX EPIGASTIC PAIN</t>
        </is>
      </c>
      <c r="W68" t="inlineStr">
        <is>
          <t>L</t>
        </is>
      </c>
      <c r="X68" t="inlineStr">
        <is>
          <t>89</t>
        </is>
      </c>
      <c r="Y68" t="inlineStr">
        <is>
          <t>67.2099</t>
        </is>
      </c>
      <c r="Z68" t="n">
        <v>0</v>
      </c>
      <c r="AA68" t="n">
        <v>0</v>
      </c>
      <c r="AB68" t="inlineStr">
        <is>
          <t>No mention of vitamins or supplements, only 'nitrous oxide' which is a chemical.</t>
        </is>
      </c>
    </row>
    <row r="69">
      <c r="A69" t="inlineStr">
        <is>
          <t>60524425</t>
        </is>
      </c>
      <c r="B69" t="inlineStr">
        <is>
          <t>2006-04-30 00:00:00</t>
        </is>
      </c>
      <c r="C69" t="inlineStr">
        <is>
          <t>3</t>
        </is>
      </c>
      <c r="D69" t="inlineStr">
        <is>
          <t>1</t>
        </is>
      </c>
      <c r="E69" t="inlineStr">
        <is>
          <t>2</t>
        </is>
      </c>
      <c r="F69" t="inlineStr"/>
      <c r="G69" t="inlineStr"/>
      <c r="H69" t="inlineStr">
        <is>
          <t>85</t>
        </is>
      </c>
      <c r="I69" t="inlineStr">
        <is>
          <t>68</t>
        </is>
      </c>
      <c r="J69" t="inlineStr"/>
      <c r="K69" t="inlineStr"/>
      <c r="L69" t="inlineStr"/>
      <c r="M69" t="inlineStr"/>
      <c r="N69" t="inlineStr">
        <is>
          <t>1</t>
        </is>
      </c>
      <c r="O69" t="inlineStr">
        <is>
          <t>0</t>
        </is>
      </c>
      <c r="P69" t="inlineStr">
        <is>
          <t>0</t>
        </is>
      </c>
      <c r="Q69" t="inlineStr">
        <is>
          <t>1931</t>
        </is>
      </c>
      <c r="R69" t="inlineStr">
        <is>
          <t>0</t>
        </is>
      </c>
      <c r="S69" t="inlineStr">
        <is>
          <t>0</t>
        </is>
      </c>
      <c r="T69" t="inlineStr"/>
      <c r="U69" t="inlineStr"/>
      <c r="V69" t="inlineStr">
        <is>
          <t>SWALLOWED *** TAB/MED INGESTION</t>
        </is>
      </c>
      <c r="W69" t="inlineStr">
        <is>
          <t>V</t>
        </is>
      </c>
      <c r="X69" t="inlineStr">
        <is>
          <t>58</t>
        </is>
      </c>
      <c r="Y69" t="inlineStr">
        <is>
          <t>15.4988</t>
        </is>
      </c>
      <c r="Z69" t="n">
        <v>1</v>
      </c>
      <c r="AA69" t="n">
        <v>0</v>
      </c>
      <c r="AB69" t="inlineStr">
        <is>
          <t>Mentions 'TAB/MED' which implies prescription medication, not a supplement.</t>
        </is>
      </c>
    </row>
    <row r="70">
      <c r="A70" t="inlineStr">
        <is>
          <t>170610835</t>
        </is>
      </c>
      <c r="B70" t="inlineStr">
        <is>
          <t>2017-06-02 00:00:00</t>
        </is>
      </c>
      <c r="C70" t="inlineStr">
        <is>
          <t>85</t>
        </is>
      </c>
      <c r="D70" t="inlineStr">
        <is>
          <t>1</t>
        </is>
      </c>
      <c r="E70" t="inlineStr">
        <is>
          <t>1</t>
        </is>
      </c>
      <c r="F70" t="inlineStr"/>
      <c r="G70" t="inlineStr"/>
      <c r="H70" t="inlineStr">
        <is>
          <t>85</t>
        </is>
      </c>
      <c r="I70" t="inlineStr">
        <is>
          <t>68</t>
        </is>
      </c>
      <c r="J70" t="inlineStr"/>
      <c r="K70" t="inlineStr"/>
      <c r="L70" t="inlineStr"/>
      <c r="M70" t="inlineStr"/>
      <c r="N70" t="inlineStr">
        <is>
          <t>4</t>
        </is>
      </c>
      <c r="O70" t="inlineStr">
        <is>
          <t>1</t>
        </is>
      </c>
      <c r="P70" t="inlineStr">
        <is>
          <t>0</t>
        </is>
      </c>
      <c r="Q70" t="inlineStr">
        <is>
          <t>611</t>
        </is>
      </c>
      <c r="R70" t="inlineStr">
        <is>
          <t>0</t>
        </is>
      </c>
      <c r="S70" t="inlineStr">
        <is>
          <t>0</t>
        </is>
      </c>
      <c r="T70" t="inlineStr"/>
      <c r="U70" t="inlineStr"/>
      <c r="V70" t="inlineStr">
        <is>
          <t>85YOM TAKES WARFARIN AND HAD RIGHT FACIAL AND ARM WEAKNESS AND SOME CONFUSION AFTER GETTING OUT OF THE SHOWER. DX INTERCRANIAL HEMORRHAGE</t>
        </is>
      </c>
      <c r="W70" t="inlineStr">
        <is>
          <t>S</t>
        </is>
      </c>
      <c r="X70" t="inlineStr">
        <is>
          <t>46</t>
        </is>
      </c>
      <c r="Y70" t="inlineStr">
        <is>
          <t>77.6641</t>
        </is>
      </c>
      <c r="Z70" t="n">
        <v>0</v>
      </c>
      <c r="AA70" t="n">
        <v>0</v>
      </c>
      <c r="AB70" t="inlineStr">
        <is>
          <t>No mention of vitamins or supplements, and the narrative is focused on medication (warfarin) and medical condition (intercranial hemorrhage).</t>
        </is>
      </c>
    </row>
    <row r="71">
      <c r="A71" t="inlineStr">
        <is>
          <t>61025182</t>
        </is>
      </c>
      <c r="B71" t="inlineStr">
        <is>
          <t>2006-10-05 00:00:00</t>
        </is>
      </c>
      <c r="C71" t="inlineStr">
        <is>
          <t>2</t>
        </is>
      </c>
      <c r="D71" t="inlineStr">
        <is>
          <t>1</t>
        </is>
      </c>
      <c r="E71" t="inlineStr">
        <is>
          <t>1</t>
        </is>
      </c>
      <c r="F71" t="inlineStr"/>
      <c r="G71" t="inlineStr"/>
      <c r="H71" t="inlineStr">
        <is>
          <t>85</t>
        </is>
      </c>
      <c r="I71" t="inlineStr">
        <is>
          <t>68</t>
        </is>
      </c>
      <c r="J71" t="inlineStr"/>
      <c r="K71" t="inlineStr"/>
      <c r="L71" t="inlineStr"/>
      <c r="M71" t="inlineStr"/>
      <c r="N71" t="inlineStr">
        <is>
          <t>1</t>
        </is>
      </c>
      <c r="O71" t="inlineStr">
        <is>
          <t>0</t>
        </is>
      </c>
      <c r="P71" t="inlineStr">
        <is>
          <t>0</t>
        </is>
      </c>
      <c r="Q71" t="inlineStr">
        <is>
          <t>1931</t>
        </is>
      </c>
      <c r="R71" t="inlineStr">
        <is>
          <t>0</t>
        </is>
      </c>
      <c r="S71" t="inlineStr">
        <is>
          <t>0</t>
        </is>
      </c>
      <c r="T71" t="inlineStr"/>
      <c r="U71" t="inlineStr"/>
      <c r="V71" t="inlineStr">
        <is>
          <t>CHEWING ON *** TABLETS. DX POISONING</t>
        </is>
      </c>
      <c r="W71" t="inlineStr">
        <is>
          <t>C</t>
        </is>
      </c>
      <c r="X71" t="inlineStr">
        <is>
          <t>31</t>
        </is>
      </c>
      <c r="Y71" t="inlineStr">
        <is>
          <t>6.1438</t>
        </is>
      </c>
      <c r="Z71" t="n">
        <v>1</v>
      </c>
      <c r="AA71" t="n">
        <v>0</v>
      </c>
      <c r="AB71" t="inlineStr">
        <is>
          <t>Mentions '*** tablets' which could be medication or household chemicals; no clear indication of vitamin/supplement ingestion</t>
        </is>
      </c>
    </row>
    <row r="72">
      <c r="A72" t="inlineStr">
        <is>
          <t>211158485</t>
        </is>
      </c>
      <c r="B72" t="inlineStr">
        <is>
          <t>2021-11-21 00:00:00</t>
        </is>
      </c>
      <c r="C72" t="inlineStr">
        <is>
          <t>38</t>
        </is>
      </c>
      <c r="D72" t="inlineStr">
        <is>
          <t>1</t>
        </is>
      </c>
      <c r="E72" t="inlineStr">
        <is>
          <t>1</t>
        </is>
      </c>
      <c r="F72" t="inlineStr"/>
      <c r="G72" t="inlineStr">
        <is>
          <t>1</t>
        </is>
      </c>
      <c r="H72" t="inlineStr">
        <is>
          <t>85</t>
        </is>
      </c>
      <c r="I72" t="inlineStr">
        <is>
          <t>68</t>
        </is>
      </c>
      <c r="J72" t="inlineStr"/>
      <c r="K72" t="inlineStr">
        <is>
          <t>87</t>
        </is>
      </c>
      <c r="L72" t="inlineStr">
        <is>
          <t>71</t>
        </is>
      </c>
      <c r="M72" t="inlineStr">
        <is>
          <t>NO INJURY</t>
        </is>
      </c>
      <c r="N72" t="inlineStr">
        <is>
          <t>1</t>
        </is>
      </c>
      <c r="O72" t="inlineStr">
        <is>
          <t>1</t>
        </is>
      </c>
      <c r="P72" t="inlineStr">
        <is>
          <t>0</t>
        </is>
      </c>
      <c r="Q72" t="inlineStr">
        <is>
          <t>1886</t>
        </is>
      </c>
      <c r="R72" t="inlineStr">
        <is>
          <t>0</t>
        </is>
      </c>
      <c r="S72" t="inlineStr">
        <is>
          <t>0</t>
        </is>
      </c>
      <c r="T72" t="inlineStr">
        <is>
          <t>1</t>
        </is>
      </c>
      <c r="U72" t="inlineStr">
        <is>
          <t>0</t>
        </is>
      </c>
      <c r="V72" t="inlineStr">
        <is>
          <t>38YOM TO ER FOR ETOH INTOX, PT DRANK AT A BAR, THEN DROVE HOME, PT BACKED UP INTO DRIVEWAY &amp; HIT HIS GARAGE DOOR, NEIGBORS CALLED 911, PT NOT INJURED IN MVC, PT BAL 290 DX ETOH INTOX</t>
        </is>
      </c>
      <c r="W72" t="inlineStr">
        <is>
          <t>L</t>
        </is>
      </c>
      <c r="X72" t="inlineStr">
        <is>
          <t>3</t>
        </is>
      </c>
      <c r="Y72" t="inlineStr">
        <is>
          <t>57.0141</t>
        </is>
      </c>
      <c r="Z72" t="n">
        <v>0</v>
      </c>
      <c r="AA72" t="n">
        <v>0</v>
      </c>
      <c r="AB72" t="inlineStr">
        <is>
          <t>No mention of vitamins or supplements.</t>
        </is>
      </c>
    </row>
    <row r="73">
      <c r="A73" t="inlineStr">
        <is>
          <t>160321919</t>
        </is>
      </c>
      <c r="B73" t="inlineStr">
        <is>
          <t>2016-03-09 00:00:00</t>
        </is>
      </c>
      <c r="C73" t="inlineStr">
        <is>
          <t>4</t>
        </is>
      </c>
      <c r="D73" t="inlineStr">
        <is>
          <t>1</t>
        </is>
      </c>
      <c r="E73" t="inlineStr">
        <is>
          <t>2</t>
        </is>
      </c>
      <c r="F73" t="inlineStr"/>
      <c r="G73" t="inlineStr"/>
      <c r="H73" t="inlineStr">
        <is>
          <t>85</t>
        </is>
      </c>
      <c r="I73" t="inlineStr">
        <is>
          <t>68</t>
        </is>
      </c>
      <c r="J73" t="inlineStr"/>
      <c r="K73" t="inlineStr"/>
      <c r="L73" t="inlineStr"/>
      <c r="M73" t="inlineStr"/>
      <c r="N73" t="inlineStr">
        <is>
          <t>6</t>
        </is>
      </c>
      <c r="O73" t="inlineStr">
        <is>
          <t>0</t>
        </is>
      </c>
      <c r="P73" t="inlineStr">
        <is>
          <t>0</t>
        </is>
      </c>
      <c r="Q73" t="inlineStr">
        <is>
          <t>1931</t>
        </is>
      </c>
      <c r="R73" t="inlineStr">
        <is>
          <t>0</t>
        </is>
      </c>
      <c r="S73" t="inlineStr">
        <is>
          <t>0</t>
        </is>
      </c>
      <c r="T73" t="inlineStr"/>
      <c r="U73" t="inlineStr"/>
      <c r="V73" t="inlineStr">
        <is>
          <t>4 YO MALE INGESTED ONE 25 MG ***. DX POISONING</t>
        </is>
      </c>
      <c r="W73" t="inlineStr">
        <is>
          <t>C</t>
        </is>
      </c>
      <c r="X73" t="inlineStr">
        <is>
          <t>31</t>
        </is>
      </c>
      <c r="Y73" t="inlineStr">
        <is>
          <t>4.5056</t>
        </is>
      </c>
      <c r="Z73" t="n">
        <v>1</v>
      </c>
      <c r="AA73" t="n">
        <v>0</v>
      </c>
      <c r="AB73" t="inlineStr">
        <is>
          <t>Ingestion of unknown substance (***), does not explicitly mention vitamin or dietary supplement.</t>
        </is>
      </c>
    </row>
    <row r="74">
      <c r="A74" t="inlineStr">
        <is>
          <t>60213629</t>
        </is>
      </c>
      <c r="B74" t="inlineStr">
        <is>
          <t>2006-02-08 00:00:00</t>
        </is>
      </c>
      <c r="C74" t="inlineStr">
        <is>
          <t>2</t>
        </is>
      </c>
      <c r="D74" t="inlineStr">
        <is>
          <t>1</t>
        </is>
      </c>
      <c r="E74" t="inlineStr">
        <is>
          <t>0</t>
        </is>
      </c>
      <c r="F74" t="inlineStr"/>
      <c r="G74" t="inlineStr"/>
      <c r="H74" t="inlineStr">
        <is>
          <t>85</t>
        </is>
      </c>
      <c r="I74" t="inlineStr">
        <is>
          <t>68</t>
        </is>
      </c>
      <c r="J74" t="inlineStr"/>
      <c r="K74" t="inlineStr"/>
      <c r="L74" t="inlineStr"/>
      <c r="M74" t="inlineStr"/>
      <c r="N74" t="inlineStr">
        <is>
          <t>1</t>
        </is>
      </c>
      <c r="O74" t="inlineStr">
        <is>
          <t>1</t>
        </is>
      </c>
      <c r="P74" t="inlineStr">
        <is>
          <t>0</t>
        </is>
      </c>
      <c r="Q74" t="inlineStr">
        <is>
          <t>1927</t>
        </is>
      </c>
      <c r="R74" t="inlineStr">
        <is>
          <t>1127</t>
        </is>
      </c>
      <c r="S74" t="inlineStr">
        <is>
          <t>0</t>
        </is>
      </c>
      <c r="T74" t="inlineStr"/>
      <c r="U74" t="inlineStr"/>
      <c r="V74" t="inlineStr">
        <is>
          <t>UNSUPERVISED, INGESTED THE WHOLE BOTTLE OF *** PM, 40 OZ. " ACC INGESTION"</t>
        </is>
      </c>
      <c r="W74" t="inlineStr">
        <is>
          <t>V</t>
        </is>
      </c>
      <c r="X74" t="inlineStr">
        <is>
          <t>21</t>
        </is>
      </c>
      <c r="Y74" t="inlineStr">
        <is>
          <t>15.4988</t>
        </is>
      </c>
      <c r="Z74" t="n">
        <v>1</v>
      </c>
      <c r="AA74" t="n">
        <v>0</v>
      </c>
      <c r="AB74" t="inlineStr">
        <is>
          <t>No explicit mention of vitamin or dietary supplement; 'PM' is unclear and does not imply a supplement.</t>
        </is>
      </c>
    </row>
    <row r="75">
      <c r="A75" t="inlineStr">
        <is>
          <t>100750148</t>
        </is>
      </c>
      <c r="B75" t="inlineStr">
        <is>
          <t>2010-07-18 00:00:00</t>
        </is>
      </c>
      <c r="C75" t="inlineStr">
        <is>
          <t>214</t>
        </is>
      </c>
      <c r="D75" t="inlineStr">
        <is>
          <t>1</t>
        </is>
      </c>
      <c r="E75" t="inlineStr">
        <is>
          <t>0</t>
        </is>
      </c>
      <c r="F75" t="inlineStr"/>
      <c r="G75" t="inlineStr"/>
      <c r="H75" t="inlineStr">
        <is>
          <t>85</t>
        </is>
      </c>
      <c r="I75" t="inlineStr">
        <is>
          <t>68</t>
        </is>
      </c>
      <c r="J75" t="inlineStr"/>
      <c r="K75" t="inlineStr"/>
      <c r="L75" t="inlineStr"/>
      <c r="M75" t="inlineStr"/>
      <c r="N75" t="inlineStr">
        <is>
          <t>1</t>
        </is>
      </c>
      <c r="O75" t="inlineStr">
        <is>
          <t>1</t>
        </is>
      </c>
      <c r="P75" t="inlineStr">
        <is>
          <t>0</t>
        </is>
      </c>
      <c r="Q75" t="inlineStr">
        <is>
          <t>954</t>
        </is>
      </c>
      <c r="R75" t="inlineStr">
        <is>
          <t>0</t>
        </is>
      </c>
      <c r="S75" t="inlineStr">
        <is>
          <t>0</t>
        </is>
      </c>
      <c r="T75" t="inlineStr"/>
      <c r="U75" t="inlineStr"/>
      <c r="V75" t="inlineStr">
        <is>
          <t>14MOM DRANK SOME CARPET CLEARNER, BURPED UP BUBBLES, ONLY SMALL AMT MISSING FROM CLEANER BOTTLE DX: INGESTION</t>
        </is>
      </c>
      <c r="W75" t="inlineStr">
        <is>
          <t>C</t>
        </is>
      </c>
      <c r="X75" t="inlineStr">
        <is>
          <t>32</t>
        </is>
      </c>
      <c r="Y75" t="inlineStr">
        <is>
          <t>5.3312</t>
        </is>
      </c>
      <c r="Z75" t="n">
        <v>0</v>
      </c>
      <c r="AA75" t="n">
        <v>0</v>
      </c>
      <c r="AB75" t="inlineStr">
        <is>
          <t>Carpet cleaner is a household chemical, not a supplement.</t>
        </is>
      </c>
    </row>
    <row r="76">
      <c r="A76" t="inlineStr">
        <is>
          <t>60126214</t>
        </is>
      </c>
      <c r="B76" t="inlineStr">
        <is>
          <t>2006-01-03 00:00:00</t>
        </is>
      </c>
      <c r="C76" t="inlineStr">
        <is>
          <t>4</t>
        </is>
      </c>
      <c r="D76" t="inlineStr">
        <is>
          <t>1</t>
        </is>
      </c>
      <c r="E76" t="inlineStr">
        <is>
          <t>0</t>
        </is>
      </c>
      <c r="F76" t="inlineStr"/>
      <c r="G76" t="inlineStr"/>
      <c r="H76" t="inlineStr">
        <is>
          <t>85</t>
        </is>
      </c>
      <c r="I76" t="inlineStr">
        <is>
          <t>68</t>
        </is>
      </c>
      <c r="J76" t="inlineStr"/>
      <c r="K76" t="inlineStr"/>
      <c r="L76" t="inlineStr"/>
      <c r="M76" t="inlineStr"/>
      <c r="N76" t="inlineStr">
        <is>
          <t>1</t>
        </is>
      </c>
      <c r="O76" t="inlineStr">
        <is>
          <t>1</t>
        </is>
      </c>
      <c r="P76" t="inlineStr">
        <is>
          <t>0</t>
        </is>
      </c>
      <c r="Q76" t="inlineStr">
        <is>
          <t>1927</t>
        </is>
      </c>
      <c r="R76" t="inlineStr">
        <is>
          <t>0</t>
        </is>
      </c>
      <c r="S76" t="inlineStr">
        <is>
          <t>0</t>
        </is>
      </c>
      <c r="T76" t="inlineStr"/>
      <c r="U76" t="inlineStr"/>
      <c r="V76" t="inlineStr">
        <is>
          <t>DX: ALLERGIC REACTION TO ***ICILLIN, RASH</t>
        </is>
      </c>
      <c r="W76" t="inlineStr">
        <is>
          <t>C</t>
        </is>
      </c>
      <c r="X76" t="inlineStr">
        <is>
          <t>37</t>
        </is>
      </c>
      <c r="Y76" t="inlineStr">
        <is>
          <t>5.3759</t>
        </is>
      </c>
      <c r="Z76" t="n">
        <v>1</v>
      </c>
      <c r="AA76" t="n">
        <v>0</v>
      </c>
      <c r="AB76" t="inlineStr">
        <is>
          <t>No mention of vitamin or dietary supplement</t>
        </is>
      </c>
    </row>
    <row r="77">
      <c r="A77" t="inlineStr">
        <is>
          <t>40647232</t>
        </is>
      </c>
      <c r="B77" t="inlineStr">
        <is>
          <t>2004-06-21 00:00:00</t>
        </is>
      </c>
      <c r="C77" t="inlineStr">
        <is>
          <t>2</t>
        </is>
      </c>
      <c r="D77" t="inlineStr">
        <is>
          <t>2</t>
        </is>
      </c>
      <c r="E77" t="inlineStr">
        <is>
          <t>1</t>
        </is>
      </c>
      <c r="F77" t="inlineStr"/>
      <c r="G77" t="inlineStr"/>
      <c r="H77" t="inlineStr">
        <is>
          <t>85</t>
        </is>
      </c>
      <c r="I77" t="inlineStr">
        <is>
          <t>68</t>
        </is>
      </c>
      <c r="J77" t="inlineStr"/>
      <c r="K77" t="inlineStr"/>
      <c r="L77" t="inlineStr"/>
      <c r="M77" t="inlineStr"/>
      <c r="N77" t="inlineStr">
        <is>
          <t>1</t>
        </is>
      </c>
      <c r="O77" t="inlineStr">
        <is>
          <t>0</t>
        </is>
      </c>
      <c r="P77" t="inlineStr">
        <is>
          <t>0</t>
        </is>
      </c>
      <c r="Q77" t="inlineStr">
        <is>
          <t>1931</t>
        </is>
      </c>
      <c r="R77" t="inlineStr">
        <is>
          <t>0</t>
        </is>
      </c>
      <c r="S77" t="inlineStr">
        <is>
          <t>0</t>
        </is>
      </c>
      <c r="T77" t="inlineStr"/>
      <c r="U77" t="inlineStr"/>
      <c r="V77" t="inlineStr">
        <is>
          <t>ACCIDENTAL DRUG INGESTION; PT FOUND WITH BROTHER'S ****** (2 MG) ?AMT, IF ANY TAKEN, NOALLERGIC REACTION, PCC CALLED @ ED</t>
        </is>
      </c>
      <c r="W77" t="inlineStr">
        <is>
          <t>S</t>
        </is>
      </c>
      <c r="X77" t="inlineStr">
        <is>
          <t>46</t>
        </is>
      </c>
      <c r="Y77" t="inlineStr">
        <is>
          <t>71.4825</t>
        </is>
      </c>
      <c r="Z77" t="n">
        <v>1</v>
      </c>
      <c r="AA77" t="n">
        <v>0</v>
      </c>
      <c r="AB77" t="inlineStr">
        <is>
          <t>No explicit mention of a vitamin or supplement, and 'drug' is a general term for medication.</t>
        </is>
      </c>
    </row>
    <row r="78">
      <c r="A78" t="inlineStr">
        <is>
          <t>80764698</t>
        </is>
      </c>
      <c r="B78" t="inlineStr">
        <is>
          <t>2008-07-25 00:00:00</t>
        </is>
      </c>
      <c r="C78" t="inlineStr">
        <is>
          <t>56</t>
        </is>
      </c>
      <c r="D78" t="inlineStr">
        <is>
          <t>2</t>
        </is>
      </c>
      <c r="E78" t="inlineStr">
        <is>
          <t>1</t>
        </is>
      </c>
      <c r="F78" t="inlineStr"/>
      <c r="G78" t="inlineStr"/>
      <c r="H78" t="inlineStr">
        <is>
          <t>85</t>
        </is>
      </c>
      <c r="I78" t="inlineStr">
        <is>
          <t>68</t>
        </is>
      </c>
      <c r="J78" t="inlineStr"/>
      <c r="K78" t="inlineStr"/>
      <c r="L78" t="inlineStr"/>
      <c r="M78" t="inlineStr"/>
      <c r="N78" t="inlineStr">
        <is>
          <t>1</t>
        </is>
      </c>
      <c r="O78" t="inlineStr">
        <is>
          <t>1</t>
        </is>
      </c>
      <c r="P78" t="inlineStr">
        <is>
          <t>0</t>
        </is>
      </c>
      <c r="Q78" t="inlineStr">
        <is>
          <t>954</t>
        </is>
      </c>
      <c r="R78" t="inlineStr">
        <is>
          <t>0</t>
        </is>
      </c>
      <c r="S78" t="inlineStr">
        <is>
          <t>0</t>
        </is>
      </c>
      <c r="T78" t="inlineStr"/>
      <c r="U78" t="inlineStr"/>
      <c r="V78" t="inlineStr">
        <is>
          <t>INHALATION TOXIC FUMES-AFTER USING INDUSTRIAL CLEANER IN BASEMENT-GOT DIZZY-@ HOME</t>
        </is>
      </c>
      <c r="W78" t="inlineStr">
        <is>
          <t>V</t>
        </is>
      </c>
      <c r="X78" t="inlineStr">
        <is>
          <t>53</t>
        </is>
      </c>
      <c r="Y78" t="inlineStr">
        <is>
          <t>15.4886</t>
        </is>
      </c>
      <c r="Z78" t="n">
        <v>0</v>
      </c>
      <c r="AA78" t="n">
        <v>0</v>
      </c>
      <c r="AB78" t="inlineStr">
        <is>
          <t>Mentions 'industrial cleaner' which is a household chemical, not a supplement.</t>
        </is>
      </c>
    </row>
    <row r="79">
      <c r="A79" t="inlineStr">
        <is>
          <t>140727799</t>
        </is>
      </c>
      <c r="B79" t="inlineStr">
        <is>
          <t>2014-06-01 00:00:00</t>
        </is>
      </c>
      <c r="C79" t="inlineStr">
        <is>
          <t>2</t>
        </is>
      </c>
      <c r="D79" t="inlineStr">
        <is>
          <t>1</t>
        </is>
      </c>
      <c r="E79" t="inlineStr">
        <is>
          <t>1</t>
        </is>
      </c>
      <c r="F79" t="inlineStr"/>
      <c r="G79" t="inlineStr"/>
      <c r="H79" t="inlineStr">
        <is>
          <t>85</t>
        </is>
      </c>
      <c r="I79" t="inlineStr">
        <is>
          <t>68</t>
        </is>
      </c>
      <c r="J79" t="inlineStr"/>
      <c r="K79" t="inlineStr"/>
      <c r="L79" t="inlineStr"/>
      <c r="M79" t="inlineStr"/>
      <c r="N79" t="inlineStr">
        <is>
          <t>1</t>
        </is>
      </c>
      <c r="O79" t="inlineStr">
        <is>
          <t>1</t>
        </is>
      </c>
      <c r="P79" t="inlineStr">
        <is>
          <t>0</t>
        </is>
      </c>
      <c r="Q79" t="inlineStr">
        <is>
          <t>1931</t>
        </is>
      </c>
      <c r="R79" t="inlineStr">
        <is>
          <t>0</t>
        </is>
      </c>
      <c r="S79" t="inlineStr">
        <is>
          <t>0</t>
        </is>
      </c>
      <c r="T79" t="inlineStr"/>
      <c r="U79" t="inlineStr"/>
      <c r="V79" t="inlineStr">
        <is>
          <t>2 Y/O MALE CHILD FOUND INGESTING VITAMIN B12 PILLS UNKNOWN AMOUNTDX INGESTION</t>
        </is>
      </c>
      <c r="W79" t="inlineStr">
        <is>
          <t>M</t>
        </is>
      </c>
      <c r="X79" t="inlineStr">
        <is>
          <t>16</t>
        </is>
      </c>
      <c r="Y79" t="inlineStr">
        <is>
          <t>89.7336</t>
        </is>
      </c>
      <c r="Z79" t="n">
        <v>1</v>
      </c>
      <c r="AA79" t="n">
        <v>0</v>
      </c>
      <c r="AB79" t="inlineStr">
        <is>
          <t>Mentions 'Vitamin B12' which is a vitamin, but does not exclude iron; however, the narrative does not mention iron, so it could be a supplement without iron. However, since the amount of ingestion is unknown and it's a pill (which can sometimes imply medication), I will err on the side of caution and choose 0.</t>
        </is>
      </c>
    </row>
    <row r="80">
      <c r="A80" t="inlineStr">
        <is>
          <t>50929476</t>
        </is>
      </c>
      <c r="B80" t="inlineStr">
        <is>
          <t>2005-09-12 00:00:00</t>
        </is>
      </c>
      <c r="C80" t="inlineStr">
        <is>
          <t>2</t>
        </is>
      </c>
      <c r="D80" t="inlineStr">
        <is>
          <t>2</t>
        </is>
      </c>
      <c r="E80" t="inlineStr">
        <is>
          <t>1</t>
        </is>
      </c>
      <c r="F80" t="inlineStr"/>
      <c r="G80" t="inlineStr"/>
      <c r="H80" t="inlineStr">
        <is>
          <t>85</t>
        </is>
      </c>
      <c r="I80" t="inlineStr">
        <is>
          <t>68</t>
        </is>
      </c>
      <c r="J80" t="inlineStr"/>
      <c r="K80" t="inlineStr"/>
      <c r="L80" t="inlineStr"/>
      <c r="M80" t="inlineStr"/>
      <c r="N80" t="inlineStr">
        <is>
          <t>1</t>
        </is>
      </c>
      <c r="O80" t="inlineStr">
        <is>
          <t>1</t>
        </is>
      </c>
      <c r="P80" t="inlineStr">
        <is>
          <t>0</t>
        </is>
      </c>
      <c r="Q80" t="inlineStr">
        <is>
          <t>1931</t>
        </is>
      </c>
      <c r="R80" t="inlineStr">
        <is>
          <t>0</t>
        </is>
      </c>
      <c r="S80" t="inlineStr">
        <is>
          <t>0</t>
        </is>
      </c>
      <c r="T80" t="inlineStr"/>
      <c r="U80" t="inlineStr"/>
      <c r="V80" t="inlineStr">
        <is>
          <t>SWALLOWED 1 OF FATHER'S *** TABLETS (20MG)DX: ACCIDENTAL INGESTION / NOT TOXIC POISONING</t>
        </is>
      </c>
      <c r="W80" t="inlineStr">
        <is>
          <t>L</t>
        </is>
      </c>
      <c r="X80" t="inlineStr">
        <is>
          <t>42</t>
        </is>
      </c>
      <c r="Y80" t="inlineStr">
        <is>
          <t>67.4808</t>
        </is>
      </c>
      <c r="Z80" t="n">
        <v>1</v>
      </c>
      <c r="AA80" t="n">
        <v>0</v>
      </c>
      <c r="AB80" t="inlineStr">
        <is>
          <t>Mentions 'TABLETS' without specifying supplement or medication, defaulting to label=0.</t>
        </is>
      </c>
    </row>
    <row r="81">
      <c r="A81" t="inlineStr">
        <is>
          <t>90450000</t>
        </is>
      </c>
      <c r="B81" t="inlineStr">
        <is>
          <t>2009-04-23 00:00:00</t>
        </is>
      </c>
      <c r="C81" t="inlineStr">
        <is>
          <t>3</t>
        </is>
      </c>
      <c r="D81" t="inlineStr">
        <is>
          <t>1</t>
        </is>
      </c>
      <c r="E81" t="inlineStr">
        <is>
          <t>0</t>
        </is>
      </c>
      <c r="F81" t="inlineStr"/>
      <c r="G81" t="inlineStr"/>
      <c r="H81" t="inlineStr">
        <is>
          <t>85</t>
        </is>
      </c>
      <c r="I81" t="inlineStr">
        <is>
          <t>68</t>
        </is>
      </c>
      <c r="J81" t="inlineStr"/>
      <c r="K81" t="inlineStr"/>
      <c r="L81" t="inlineStr"/>
      <c r="M81" t="inlineStr"/>
      <c r="N81" t="inlineStr">
        <is>
          <t>1</t>
        </is>
      </c>
      <c r="O81" t="inlineStr">
        <is>
          <t>1</t>
        </is>
      </c>
      <c r="P81" t="inlineStr">
        <is>
          <t>0</t>
        </is>
      </c>
      <c r="Q81" t="inlineStr">
        <is>
          <t>1931</t>
        </is>
      </c>
      <c r="R81" t="inlineStr">
        <is>
          <t>0</t>
        </is>
      </c>
      <c r="S81" t="inlineStr">
        <is>
          <t>0</t>
        </is>
      </c>
      <c r="T81" t="inlineStr"/>
      <c r="U81" t="inlineStr"/>
      <c r="V81" t="inlineStr">
        <is>
          <t>MOM STATES CHILD INGESTED THE MED ***DX ACCIDENTAL INGESTION</t>
        </is>
      </c>
      <c r="W81" t="inlineStr">
        <is>
          <t>V</t>
        </is>
      </c>
      <c r="X81" t="inlineStr">
        <is>
          <t>41</t>
        </is>
      </c>
      <c r="Y81" t="inlineStr">
        <is>
          <t>16.0468</t>
        </is>
      </c>
      <c r="Z81" t="n">
        <v>1</v>
      </c>
      <c r="AA81" t="n">
        <v>0</v>
      </c>
      <c r="AB81" t="inlineStr">
        <is>
          <t>No explicit mention of vitamin or dietary supplement; ingestion alone does not imply label=1.</t>
        </is>
      </c>
    </row>
    <row r="82">
      <c r="A82" t="inlineStr">
        <is>
          <t>51108095</t>
        </is>
      </c>
      <c r="B82" t="inlineStr">
        <is>
          <t>2005-10-18 00:00:00</t>
        </is>
      </c>
      <c r="C82" t="inlineStr">
        <is>
          <t>217</t>
        </is>
      </c>
      <c r="D82" t="inlineStr">
        <is>
          <t>2</t>
        </is>
      </c>
      <c r="E82" t="inlineStr">
        <is>
          <t>3</t>
        </is>
      </c>
      <c r="F82" t="inlineStr">
        <is>
          <t>HISPANIC</t>
        </is>
      </c>
      <c r="G82" t="inlineStr"/>
      <c r="H82" t="inlineStr">
        <is>
          <t>85</t>
        </is>
      </c>
      <c r="I82" t="inlineStr">
        <is>
          <t>68</t>
        </is>
      </c>
      <c r="J82" t="inlineStr"/>
      <c r="K82" t="inlineStr"/>
      <c r="L82" t="inlineStr"/>
      <c r="M82" t="inlineStr"/>
      <c r="N82" t="inlineStr">
        <is>
          <t>1</t>
        </is>
      </c>
      <c r="O82" t="inlineStr">
        <is>
          <t>1</t>
        </is>
      </c>
      <c r="P82" t="inlineStr">
        <is>
          <t>0</t>
        </is>
      </c>
      <c r="Q82" t="inlineStr">
        <is>
          <t>5555</t>
        </is>
      </c>
      <c r="R82" t="inlineStr">
        <is>
          <t>0</t>
        </is>
      </c>
      <c r="S82" t="inlineStr">
        <is>
          <t>0</t>
        </is>
      </c>
      <c r="T82" t="inlineStr"/>
      <c r="U82" t="inlineStr"/>
      <c r="V82" t="inlineStr">
        <is>
          <t>POISONING, PT INGESTED MEDICATED POWDER " **" UNKNOWNAMOUNT AT HOME, NOVOMITING OR SOB.</t>
        </is>
      </c>
      <c r="W82" t="inlineStr">
        <is>
          <t>L</t>
        </is>
      </c>
      <c r="X82" t="inlineStr">
        <is>
          <t>51</t>
        </is>
      </c>
      <c r="Y82" t="inlineStr">
        <is>
          <t>59.9829</t>
        </is>
      </c>
      <c r="Z82" t="n">
        <v>0</v>
      </c>
      <c r="AA82" t="n">
        <v>0</v>
      </c>
      <c r="AB82" t="inlineStr">
        <is>
          <t>Mentions 'medicated powder' which is not a clear supplement/vitamin; also mentions household chemical/unknown substance.</t>
        </is>
      </c>
    </row>
    <row r="83">
      <c r="A83" t="inlineStr">
        <is>
          <t>50306683</t>
        </is>
      </c>
      <c r="B83" t="inlineStr">
        <is>
          <t>2005-03-02 00:00:00</t>
        </is>
      </c>
      <c r="C83" t="inlineStr">
        <is>
          <t>29</t>
        </is>
      </c>
      <c r="D83" t="inlineStr">
        <is>
          <t>1</t>
        </is>
      </c>
      <c r="E83" t="inlineStr">
        <is>
          <t>0</t>
        </is>
      </c>
      <c r="F83" t="inlineStr"/>
      <c r="G83" t="inlineStr"/>
      <c r="H83" t="inlineStr">
        <is>
          <t>85</t>
        </is>
      </c>
      <c r="I83" t="inlineStr">
        <is>
          <t>68</t>
        </is>
      </c>
      <c r="J83" t="inlineStr"/>
      <c r="K83" t="inlineStr"/>
      <c r="L83" t="inlineStr"/>
      <c r="M83" t="inlineStr"/>
      <c r="N83" t="inlineStr">
        <is>
          <t>1</t>
        </is>
      </c>
      <c r="O83" t="inlineStr">
        <is>
          <t>1</t>
        </is>
      </c>
      <c r="P83" t="inlineStr">
        <is>
          <t>0</t>
        </is>
      </c>
      <c r="Q83" t="inlineStr">
        <is>
          <t>4060</t>
        </is>
      </c>
      <c r="R83" t="inlineStr">
        <is>
          <t>0</t>
        </is>
      </c>
      <c r="S83" t="inlineStr">
        <is>
          <t>0</t>
        </is>
      </c>
      <c r="T83" t="inlineStr"/>
      <c r="U83" t="inlineStr"/>
      <c r="V83" t="inlineStr">
        <is>
          <t>PATIENT INHALED PROPANE GAS AT HOME ACCIDENTALLY, COMPLAINING OFCHEST PAIN. DX-PROPANE INHALATION.</t>
        </is>
      </c>
      <c r="W83" t="inlineStr">
        <is>
          <t>V</t>
        </is>
      </c>
      <c r="X83" t="inlineStr">
        <is>
          <t>64</t>
        </is>
      </c>
      <c r="Y83" t="inlineStr">
        <is>
          <t>15.5095</t>
        </is>
      </c>
      <c r="Z83" t="n">
        <v>0</v>
      </c>
      <c r="AA83" t="n">
        <v>0</v>
      </c>
      <c r="AB83" t="inlineStr">
        <is>
          <t>No mention of vitamins or supplements; propane gas is a household chemical.</t>
        </is>
      </c>
    </row>
    <row r="84">
      <c r="A84" t="inlineStr">
        <is>
          <t>60708137</t>
        </is>
      </c>
      <c r="B84" t="inlineStr">
        <is>
          <t>2006-06-01 00:00:00</t>
        </is>
      </c>
      <c r="C84" t="inlineStr">
        <is>
          <t>217</t>
        </is>
      </c>
      <c r="D84" t="inlineStr">
        <is>
          <t>1</t>
        </is>
      </c>
      <c r="E84" t="inlineStr">
        <is>
          <t>0</t>
        </is>
      </c>
      <c r="F84" t="inlineStr"/>
      <c r="G84" t="inlineStr"/>
      <c r="H84" t="inlineStr">
        <is>
          <t>85</t>
        </is>
      </c>
      <c r="I84" t="inlineStr">
        <is>
          <t>68</t>
        </is>
      </c>
      <c r="J84" t="inlineStr"/>
      <c r="K84" t="inlineStr"/>
      <c r="L84" t="inlineStr"/>
      <c r="M84" t="inlineStr"/>
      <c r="N84" t="inlineStr">
        <is>
          <t>1</t>
        </is>
      </c>
      <c r="O84" t="inlineStr">
        <is>
          <t>1</t>
        </is>
      </c>
      <c r="P84" t="inlineStr">
        <is>
          <t>0</t>
        </is>
      </c>
      <c r="Q84" t="inlineStr">
        <is>
          <t>956</t>
        </is>
      </c>
      <c r="R84" t="inlineStr">
        <is>
          <t>0</t>
        </is>
      </c>
      <c r="S84" t="inlineStr">
        <is>
          <t>0</t>
        </is>
      </c>
      <c r="T84" t="inlineStr"/>
      <c r="U84" t="inlineStr"/>
      <c r="V84" t="inlineStr">
        <is>
          <t>UNSUPERVISED, DRANK BLEACH, DILUTED C WATER." ACC INGESTION"</t>
        </is>
      </c>
      <c r="W84" t="inlineStr">
        <is>
          <t>V</t>
        </is>
      </c>
      <c r="X84" t="inlineStr">
        <is>
          <t>21</t>
        </is>
      </c>
      <c r="Y84" t="inlineStr">
        <is>
          <t>15.4988</t>
        </is>
      </c>
      <c r="Z84" t="n">
        <v>0</v>
      </c>
      <c r="AA84" t="n">
        <v>0</v>
      </c>
      <c r="AB84" t="inlineStr">
        <is>
          <t>Bleach is a household chemical, not a supplement.</t>
        </is>
      </c>
    </row>
    <row r="85">
      <c r="A85" t="inlineStr">
        <is>
          <t>140547159</t>
        </is>
      </c>
      <c r="B85" t="inlineStr">
        <is>
          <t>2014-03-30 00:00:00</t>
        </is>
      </c>
      <c r="C85" t="inlineStr">
        <is>
          <t>219</t>
        </is>
      </c>
      <c r="D85" t="inlineStr">
        <is>
          <t>2</t>
        </is>
      </c>
      <c r="E85" t="inlineStr">
        <is>
          <t>2</t>
        </is>
      </c>
      <c r="F85" t="inlineStr"/>
      <c r="G85" t="inlineStr"/>
      <c r="H85" t="inlineStr">
        <is>
          <t>85</t>
        </is>
      </c>
      <c r="I85" t="inlineStr">
        <is>
          <t>68</t>
        </is>
      </c>
      <c r="J85" t="inlineStr"/>
      <c r="K85" t="inlineStr"/>
      <c r="L85" t="inlineStr"/>
      <c r="M85" t="inlineStr"/>
      <c r="N85" t="inlineStr">
        <is>
          <t>1</t>
        </is>
      </c>
      <c r="O85" t="inlineStr">
        <is>
          <t>1</t>
        </is>
      </c>
      <c r="P85" t="inlineStr">
        <is>
          <t>0</t>
        </is>
      </c>
      <c r="Q85" t="inlineStr">
        <is>
          <t>1931</t>
        </is>
      </c>
      <c r="R85" t="inlineStr">
        <is>
          <t>0</t>
        </is>
      </c>
      <c r="S85" t="inlineStr">
        <is>
          <t>0</t>
        </is>
      </c>
      <c r="T85" t="inlineStr"/>
      <c r="U85" t="inlineStr"/>
      <c r="V85" t="inlineStr">
        <is>
          <t>19 MONTH OLD FEMALE INGESTED HALF A CAFFEINE PILLDX ACCIDENTAL INGESTION OF CAFFEINE</t>
        </is>
      </c>
      <c r="W85" t="inlineStr">
        <is>
          <t>M</t>
        </is>
      </c>
      <c r="X85" t="inlineStr">
        <is>
          <t>16</t>
        </is>
      </c>
      <c r="Y85" t="inlineStr">
        <is>
          <t>81.576</t>
        </is>
      </c>
      <c r="Z85" t="n">
        <v>1</v>
      </c>
      <c r="AA85" t="n">
        <v>0</v>
      </c>
      <c r="AB85" t="inlineStr">
        <is>
          <t>Caffeine is an OTC medication, not a supplement.</t>
        </is>
      </c>
    </row>
    <row r="86">
      <c r="A86" t="inlineStr">
        <is>
          <t>150936287</t>
        </is>
      </c>
      <c r="B86" t="inlineStr">
        <is>
          <t>2015-09-12 00:00:00</t>
        </is>
      </c>
      <c r="C86" t="inlineStr">
        <is>
          <t>211</t>
        </is>
      </c>
      <c r="D86" t="inlineStr">
        <is>
          <t>2</t>
        </is>
      </c>
      <c r="E86" t="inlineStr">
        <is>
          <t>3</t>
        </is>
      </c>
      <c r="F86" t="inlineStr">
        <is>
          <t>MULTI-RACIAL</t>
        </is>
      </c>
      <c r="G86" t="inlineStr"/>
      <c r="H86" t="inlineStr">
        <is>
          <t>85</t>
        </is>
      </c>
      <c r="I86" t="inlineStr">
        <is>
          <t>68</t>
        </is>
      </c>
      <c r="J86" t="inlineStr"/>
      <c r="K86" t="inlineStr"/>
      <c r="L86" t="inlineStr"/>
      <c r="M86" t="inlineStr"/>
      <c r="N86" t="inlineStr">
        <is>
          <t>1</t>
        </is>
      </c>
      <c r="O86" t="inlineStr">
        <is>
          <t>0</t>
        </is>
      </c>
      <c r="P86" t="inlineStr">
        <is>
          <t>0</t>
        </is>
      </c>
      <c r="Q86" t="inlineStr">
        <is>
          <t>1931</t>
        </is>
      </c>
      <c r="R86" t="inlineStr">
        <is>
          <t>0</t>
        </is>
      </c>
      <c r="S86" t="inlineStr">
        <is>
          <t>0</t>
        </is>
      </c>
      <c r="T86" t="inlineStr"/>
      <c r="U86" t="inlineStr"/>
      <c r="V86" t="inlineStr">
        <is>
          <t>11 MO FEMALE INGESTED *** 25MG. DX-ACCIDNETAL DRUG INGESTON</t>
        </is>
      </c>
      <c r="W86" t="inlineStr">
        <is>
          <t>M</t>
        </is>
      </c>
      <c r="X86" t="inlineStr">
        <is>
          <t>78</t>
        </is>
      </c>
      <c r="Y86" t="inlineStr">
        <is>
          <t>97.9239</t>
        </is>
      </c>
      <c r="Z86" t="n">
        <v>1</v>
      </c>
      <c r="AA86" t="n">
        <v>0</v>
      </c>
      <c r="AB86" t="inlineStr">
        <is>
          <t>Ingestion alone does NOT imply label=1; '***' indicates unknown substance.</t>
        </is>
      </c>
    </row>
    <row r="87">
      <c r="A87" t="inlineStr">
        <is>
          <t>40425515</t>
        </is>
      </c>
      <c r="B87" t="inlineStr">
        <is>
          <t>2004-03-29 00:00:00</t>
        </is>
      </c>
      <c r="C87" t="inlineStr">
        <is>
          <t>15</t>
        </is>
      </c>
      <c r="D87" t="inlineStr">
        <is>
          <t>1</t>
        </is>
      </c>
      <c r="E87" t="inlineStr">
        <is>
          <t>2</t>
        </is>
      </c>
      <c r="F87" t="inlineStr"/>
      <c r="G87" t="inlineStr"/>
      <c r="H87" t="inlineStr">
        <is>
          <t>85</t>
        </is>
      </c>
      <c r="I87" t="inlineStr">
        <is>
          <t>68</t>
        </is>
      </c>
      <c r="J87" t="inlineStr"/>
      <c r="K87" t="inlineStr"/>
      <c r="L87" t="inlineStr"/>
      <c r="M87" t="inlineStr"/>
      <c r="N87" t="inlineStr">
        <is>
          <t>1</t>
        </is>
      </c>
      <c r="O87" t="inlineStr">
        <is>
          <t>8</t>
        </is>
      </c>
      <c r="P87" t="inlineStr">
        <is>
          <t>0</t>
        </is>
      </c>
      <c r="Q87" t="inlineStr">
        <is>
          <t>464</t>
        </is>
      </c>
      <c r="R87" t="inlineStr">
        <is>
          <t>0</t>
        </is>
      </c>
      <c r="S87" t="inlineStr">
        <is>
          <t>0</t>
        </is>
      </c>
      <c r="T87" t="inlineStr"/>
      <c r="U87" t="inlineStr"/>
      <c r="V87" t="inlineStr">
        <is>
          <t>PT ER WITH POLICE FROM SCHOOL SMOKING WEED/ALSO BRINGING KNIFE TO SCHOOL IN HANDCUFFS C/O SEEING GHOSTS</t>
        </is>
      </c>
      <c r="W87" t="inlineStr">
        <is>
          <t>C</t>
        </is>
      </c>
      <c r="X87" t="inlineStr">
        <is>
          <t>31</t>
        </is>
      </c>
      <c r="Y87" t="inlineStr">
        <is>
          <t>6.3776</t>
        </is>
      </c>
      <c r="Z87" t="n">
        <v>0</v>
      </c>
      <c r="AA87" t="n">
        <v>0</v>
      </c>
      <c r="AB87" t="inlineStr">
        <is>
          <t>No mention of vitamins or dietary supplements.</t>
        </is>
      </c>
    </row>
    <row r="88">
      <c r="A88" t="inlineStr">
        <is>
          <t>230811906</t>
        </is>
      </c>
      <c r="B88" t="inlineStr">
        <is>
          <t>2023-07-28 00:00:00</t>
        </is>
      </c>
      <c r="C88" t="inlineStr">
        <is>
          <t>4</t>
        </is>
      </c>
      <c r="D88" t="inlineStr">
        <is>
          <t>2</t>
        </is>
      </c>
      <c r="E88" t="inlineStr">
        <is>
          <t>2</t>
        </is>
      </c>
      <c r="F88" t="inlineStr"/>
      <c r="G88" t="inlineStr">
        <is>
          <t>2</t>
        </is>
      </c>
      <c r="H88" t="inlineStr">
        <is>
          <t>85</t>
        </is>
      </c>
      <c r="I88" t="inlineStr">
        <is>
          <t>68</t>
        </is>
      </c>
      <c r="J88" t="inlineStr"/>
      <c r="K88" t="inlineStr"/>
      <c r="L88" t="inlineStr"/>
      <c r="M88" t="inlineStr"/>
      <c r="N88" t="inlineStr">
        <is>
          <t>5</t>
        </is>
      </c>
      <c r="O88" t="inlineStr">
        <is>
          <t>1</t>
        </is>
      </c>
      <c r="P88" t="inlineStr">
        <is>
          <t>0</t>
        </is>
      </c>
      <c r="Q88" t="inlineStr">
        <is>
          <t>1931</t>
        </is>
      </c>
      <c r="R88" t="inlineStr">
        <is>
          <t>0</t>
        </is>
      </c>
      <c r="S88" t="inlineStr">
        <is>
          <t>0</t>
        </is>
      </c>
      <c r="T88" t="inlineStr">
        <is>
          <t>0</t>
        </is>
      </c>
      <c r="U88" t="inlineStr">
        <is>
          <t>1</t>
        </is>
      </c>
      <c r="V88" t="inlineStr">
        <is>
          <t>4YOF INGESTED MOMS MED OF ***ODT 4 MG X 18 PILLS. SHE COMPLAINS OF ABDOMINAL PAIN. DX: ACCIDENTAL INGESTION OF SUBSTANCE</t>
        </is>
      </c>
      <c r="W88" t="inlineStr">
        <is>
          <t>C</t>
        </is>
      </c>
      <c r="X88" t="inlineStr">
        <is>
          <t>20</t>
        </is>
      </c>
      <c r="Y88" t="inlineStr">
        <is>
          <t>7.6092</t>
        </is>
      </c>
      <c r="Z88" t="n">
        <v>1</v>
      </c>
      <c r="AA88" t="n">
        <v>0</v>
      </c>
      <c r="AB88" t="inlineStr">
        <is>
          <t>Mentions 'med of ODT' which is an over-the-counter medication, not a supplement.</t>
        </is>
      </c>
    </row>
    <row r="89">
      <c r="A89" t="inlineStr">
        <is>
          <t>230707773</t>
        </is>
      </c>
      <c r="B89" t="inlineStr">
        <is>
          <t>2023-06-25 00:00:00</t>
        </is>
      </c>
      <c r="C89" t="inlineStr">
        <is>
          <t>72</t>
        </is>
      </c>
      <c r="D89" t="inlineStr">
        <is>
          <t>2</t>
        </is>
      </c>
      <c r="E89" t="inlineStr">
        <is>
          <t>1</t>
        </is>
      </c>
      <c r="F89" t="inlineStr"/>
      <c r="G89" t="inlineStr">
        <is>
          <t>2</t>
        </is>
      </c>
      <c r="H89" t="inlineStr">
        <is>
          <t>85</t>
        </is>
      </c>
      <c r="I89" t="inlineStr">
        <is>
          <t>68</t>
        </is>
      </c>
      <c r="J89" t="inlineStr"/>
      <c r="K89" t="inlineStr">
        <is>
          <t>87</t>
        </is>
      </c>
      <c r="L89" t="inlineStr">
        <is>
          <t>71</t>
        </is>
      </c>
      <c r="M89" t="inlineStr">
        <is>
          <t>NO INJURY</t>
        </is>
      </c>
      <c r="N89" t="inlineStr">
        <is>
          <t>1</t>
        </is>
      </c>
      <c r="O89" t="inlineStr">
        <is>
          <t>5</t>
        </is>
      </c>
      <c r="P89" t="inlineStr">
        <is>
          <t>0</t>
        </is>
      </c>
      <c r="Q89" t="inlineStr">
        <is>
          <t>1807</t>
        </is>
      </c>
      <c r="R89" t="inlineStr">
        <is>
          <t>0</t>
        </is>
      </c>
      <c r="S89" t="inlineStr">
        <is>
          <t>0</t>
        </is>
      </c>
      <c r="T89" t="inlineStr">
        <is>
          <t>0</t>
        </is>
      </c>
      <c r="U89" t="inlineStr">
        <is>
          <t>1</t>
        </is>
      </c>
      <c r="V89" t="inlineStr">
        <is>
          <t>72 YOF TRIPPED, FELL OVER WHEELCHAIR, FELL IN FLOOR  AT NURSING HOME, LOW BLOOD SUGAR, DIABETIC ON METFORMIN. DX ACUTE CYSTITIS HYPOGLYCEMIA, FALL NO INJURY</t>
        </is>
      </c>
      <c r="W89" t="inlineStr">
        <is>
          <t>L</t>
        </is>
      </c>
      <c r="X89" t="inlineStr">
        <is>
          <t>44</t>
        </is>
      </c>
      <c r="Y89" t="inlineStr">
        <is>
          <t>55.4417</t>
        </is>
      </c>
      <c r="Z89" t="n">
        <v>0</v>
      </c>
      <c r="AA89" t="n">
        <v>0</v>
      </c>
      <c r="AB89" t="inlineStr">
        <is>
          <t>No mention of vitamins or supplements.</t>
        </is>
      </c>
    </row>
    <row r="90">
      <c r="A90" t="inlineStr">
        <is>
          <t>100118420</t>
        </is>
      </c>
      <c r="B90" t="inlineStr">
        <is>
          <t>2010-01-08 00:00:00</t>
        </is>
      </c>
      <c r="C90" t="inlineStr">
        <is>
          <t>222</t>
        </is>
      </c>
      <c r="D90" t="inlineStr">
        <is>
          <t>2</t>
        </is>
      </c>
      <c r="E90" t="inlineStr">
        <is>
          <t>3</t>
        </is>
      </c>
      <c r="F90" t="inlineStr">
        <is>
          <t>UNKNOWN</t>
        </is>
      </c>
      <c r="G90" t="inlineStr"/>
      <c r="H90" t="inlineStr">
        <is>
          <t>85</t>
        </is>
      </c>
      <c r="I90" t="inlineStr">
        <is>
          <t>68</t>
        </is>
      </c>
      <c r="J90" t="inlineStr"/>
      <c r="K90" t="inlineStr"/>
      <c r="L90" t="inlineStr"/>
      <c r="M90" t="inlineStr"/>
      <c r="N90" t="inlineStr">
        <is>
          <t>1</t>
        </is>
      </c>
      <c r="O90" t="inlineStr">
        <is>
          <t>1</t>
        </is>
      </c>
      <c r="P90" t="inlineStr">
        <is>
          <t>0</t>
        </is>
      </c>
      <c r="Q90" t="inlineStr">
        <is>
          <t>1931</t>
        </is>
      </c>
      <c r="R90" t="inlineStr">
        <is>
          <t>0</t>
        </is>
      </c>
      <c r="S90" t="inlineStr">
        <is>
          <t>0</t>
        </is>
      </c>
      <c r="T90" t="inlineStr"/>
      <c r="U90" t="inlineStr"/>
      <c r="V90" t="inlineStr">
        <is>
          <t>22MONTH OLD INGESTED A *** PILL</t>
        </is>
      </c>
      <c r="W90" t="inlineStr">
        <is>
          <t>V</t>
        </is>
      </c>
      <c r="X90" t="inlineStr">
        <is>
          <t>61</t>
        </is>
      </c>
      <c r="Y90" t="inlineStr">
        <is>
          <t>15.7843</t>
        </is>
      </c>
      <c r="Z90" t="n">
        <v>1</v>
      </c>
      <c r="AA90" t="n">
        <v>0</v>
      </c>
      <c r="AB90" t="inlineStr">
        <is>
          <t>Ingestion alone does NOT imply label=1; no explicit mention of vitamin/supplement</t>
        </is>
      </c>
    </row>
    <row r="91">
      <c r="A91" t="inlineStr">
        <is>
          <t>101163078</t>
        </is>
      </c>
      <c r="B91" t="inlineStr">
        <is>
          <t>2010-11-07 00:00:00</t>
        </is>
      </c>
      <c r="C91" t="inlineStr">
        <is>
          <t>2</t>
        </is>
      </c>
      <c r="D91" t="inlineStr">
        <is>
          <t>1</t>
        </is>
      </c>
      <c r="E91" t="inlineStr">
        <is>
          <t>0</t>
        </is>
      </c>
      <c r="F91" t="inlineStr"/>
      <c r="G91" t="inlineStr"/>
      <c r="H91" t="inlineStr">
        <is>
          <t>85</t>
        </is>
      </c>
      <c r="I91" t="inlineStr">
        <is>
          <t>68</t>
        </is>
      </c>
      <c r="J91" t="inlineStr"/>
      <c r="K91" t="inlineStr"/>
      <c r="L91" t="inlineStr"/>
      <c r="M91" t="inlineStr"/>
      <c r="N91" t="inlineStr">
        <is>
          <t>1</t>
        </is>
      </c>
      <c r="O91" t="inlineStr">
        <is>
          <t>1</t>
        </is>
      </c>
      <c r="P91" t="inlineStr">
        <is>
          <t>0</t>
        </is>
      </c>
      <c r="Q91" t="inlineStr">
        <is>
          <t>954</t>
        </is>
      </c>
      <c r="R91" t="inlineStr">
        <is>
          <t>0</t>
        </is>
      </c>
      <c r="S91" t="inlineStr">
        <is>
          <t>0</t>
        </is>
      </c>
      <c r="T91" t="inlineStr"/>
      <c r="U91" t="inlineStr"/>
      <c r="V91" t="inlineStr">
        <is>
          <t>2YOM SWALLOWED EYEGLASS CLEANER, ACTING WELL, NO DISTRESS DX: INGESTION</t>
        </is>
      </c>
      <c r="W91" t="inlineStr">
        <is>
          <t>C</t>
        </is>
      </c>
      <c r="X91" t="inlineStr">
        <is>
          <t>32</t>
        </is>
      </c>
      <c r="Y91" t="inlineStr">
        <is>
          <t>5.3312</t>
        </is>
      </c>
      <c r="Z91" t="n">
        <v>0</v>
      </c>
      <c r="AA91" t="n">
        <v>0</v>
      </c>
      <c r="AB91" t="inlineStr">
        <is>
          <t>Eye glass cleaner is a household chemical, not a supplement.</t>
        </is>
      </c>
    </row>
    <row r="92">
      <c r="A92" t="inlineStr">
        <is>
          <t>161218806</t>
        </is>
      </c>
      <c r="B92" t="inlineStr">
        <is>
          <t>2016-12-03 00:00:00</t>
        </is>
      </c>
      <c r="C92" t="inlineStr">
        <is>
          <t>76</t>
        </is>
      </c>
      <c r="D92" t="inlineStr">
        <is>
          <t>1</t>
        </is>
      </c>
      <c r="E92" t="inlineStr">
        <is>
          <t>1</t>
        </is>
      </c>
      <c r="F92" t="inlineStr"/>
      <c r="G92" t="inlineStr"/>
      <c r="H92" t="inlineStr">
        <is>
          <t>85</t>
        </is>
      </c>
      <c r="I92" t="inlineStr">
        <is>
          <t>68</t>
        </is>
      </c>
      <c r="J92" t="inlineStr"/>
      <c r="K92" t="inlineStr"/>
      <c r="L92" t="inlineStr"/>
      <c r="M92" t="inlineStr"/>
      <c r="N92" t="inlineStr">
        <is>
          <t>2</t>
        </is>
      </c>
      <c r="O92" t="inlineStr">
        <is>
          <t>1</t>
        </is>
      </c>
      <c r="P92" t="inlineStr">
        <is>
          <t>0</t>
        </is>
      </c>
      <c r="Q92" t="inlineStr">
        <is>
          <t>698</t>
        </is>
      </c>
      <c r="R92" t="inlineStr">
        <is>
          <t>0</t>
        </is>
      </c>
      <c r="S92" t="inlineStr">
        <is>
          <t>0</t>
        </is>
      </c>
      <c r="T92" t="inlineStr"/>
      <c r="U92" t="inlineStr"/>
      <c r="V92" t="inlineStr">
        <is>
          <t>76YOM WAS FOUND IN A HOT TUB LETHARGIC AND NOT ACTING RIGHT BY WIFE, PATIENT TAKES WARFARIN. DX SUBDURAL HEMORRHAGE, NONTRAUMATIC</t>
        </is>
      </c>
      <c r="W92" t="inlineStr">
        <is>
          <t>S</t>
        </is>
      </c>
      <c r="X92" t="inlineStr">
        <is>
          <t>46</t>
        </is>
      </c>
      <c r="Y92" t="inlineStr">
        <is>
          <t>85.2143</t>
        </is>
      </c>
      <c r="Z92" t="n">
        <v>0</v>
      </c>
      <c r="AA92" t="n">
        <v>0</v>
      </c>
      <c r="AB92" t="inlineStr">
        <is>
          <t>No mention of vitamins or supplements; mentions medication (Warfarin) and household chemical (hot tub)</t>
        </is>
      </c>
    </row>
    <row r="93">
      <c r="A93" t="inlineStr">
        <is>
          <t>190434377</t>
        </is>
      </c>
      <c r="B93" t="inlineStr">
        <is>
          <t>2019-04-07 00:00:00</t>
        </is>
      </c>
      <c r="C93" t="inlineStr">
        <is>
          <t>4</t>
        </is>
      </c>
      <c r="D93" t="inlineStr">
        <is>
          <t>1</t>
        </is>
      </c>
      <c r="E93" t="inlineStr">
        <is>
          <t>1</t>
        </is>
      </c>
      <c r="F93" t="inlineStr"/>
      <c r="G93" t="inlineStr">
        <is>
          <t>0</t>
        </is>
      </c>
      <c r="H93" t="inlineStr">
        <is>
          <t>85</t>
        </is>
      </c>
      <c r="I93" t="inlineStr">
        <is>
          <t>68</t>
        </is>
      </c>
      <c r="J93" t="inlineStr"/>
      <c r="K93" t="inlineStr"/>
      <c r="L93" t="inlineStr"/>
      <c r="M93" t="inlineStr"/>
      <c r="N93" t="inlineStr">
        <is>
          <t>1</t>
        </is>
      </c>
      <c r="O93" t="inlineStr">
        <is>
          <t>0</t>
        </is>
      </c>
      <c r="P93" t="inlineStr">
        <is>
          <t>0</t>
        </is>
      </c>
      <c r="Q93" t="inlineStr">
        <is>
          <t>1927</t>
        </is>
      </c>
      <c r="R93" t="inlineStr">
        <is>
          <t>0</t>
        </is>
      </c>
      <c r="S93" t="inlineStr">
        <is>
          <t>0</t>
        </is>
      </c>
      <c r="T93" t="inlineStr">
        <is>
          <t>0</t>
        </is>
      </c>
      <c r="U93" t="inlineStr">
        <is>
          <t>1</t>
        </is>
      </c>
      <c r="V93" t="inlineStr">
        <is>
          <t>4YOM-PT WITH LEFT ARM SWELLING AFTER SHOTS 2 DAYS AGO.DX; IMMUNIZATION REACTION/ FEVER.</t>
        </is>
      </c>
      <c r="W93" t="inlineStr">
        <is>
          <t>C</t>
        </is>
      </c>
      <c r="X93" t="inlineStr">
        <is>
          <t>90</t>
        </is>
      </c>
      <c r="Y93" t="inlineStr">
        <is>
          <t>4.8283</t>
        </is>
      </c>
      <c r="Z93" t="n">
        <v>1</v>
      </c>
      <c r="AA93" t="n">
        <v>0</v>
      </c>
      <c r="AB93" t="inlineStr">
        <is>
          <t>No mention of vitamins or supplements, only immunization reaction and fever.</t>
        </is>
      </c>
    </row>
    <row r="94">
      <c r="A94" t="inlineStr">
        <is>
          <t>180509002</t>
        </is>
      </c>
      <c r="B94" t="inlineStr">
        <is>
          <t>2018-04-20 00:00:00</t>
        </is>
      </c>
      <c r="C94" t="inlineStr">
        <is>
          <t>2</t>
        </is>
      </c>
      <c r="D94" t="inlineStr">
        <is>
          <t>1</t>
        </is>
      </c>
      <c r="E94" t="inlineStr">
        <is>
          <t>1</t>
        </is>
      </c>
      <c r="F94" t="inlineStr"/>
      <c r="G94" t="inlineStr"/>
      <c r="H94" t="inlineStr">
        <is>
          <t>85</t>
        </is>
      </c>
      <c r="I94" t="inlineStr">
        <is>
          <t>68</t>
        </is>
      </c>
      <c r="J94" t="inlineStr"/>
      <c r="K94" t="inlineStr"/>
      <c r="L94" t="inlineStr"/>
      <c r="M94" t="inlineStr"/>
      <c r="N94" t="inlineStr">
        <is>
          <t>1</t>
        </is>
      </c>
      <c r="O94" t="inlineStr">
        <is>
          <t>1</t>
        </is>
      </c>
      <c r="P94" t="inlineStr">
        <is>
          <t>0</t>
        </is>
      </c>
      <c r="Q94" t="inlineStr">
        <is>
          <t>1931</t>
        </is>
      </c>
      <c r="R94" t="inlineStr">
        <is>
          <t>0</t>
        </is>
      </c>
      <c r="S94" t="inlineStr">
        <is>
          <t>0</t>
        </is>
      </c>
      <c r="T94" t="inlineStr"/>
      <c r="U94" t="inlineStr"/>
      <c r="V94" t="inlineStr">
        <is>
          <t>2 YOM DAD KNOCKED MOMS MEDICINE *** ONTO FLOOR,HEARD PT CHEWING HAD2 PILLS IN MOUTH, DAD SWEPT 1, PT SWALLOWED 1 DX ACCIDENTAL INGESTION</t>
        </is>
      </c>
      <c r="W94" t="inlineStr">
        <is>
          <t>C</t>
        </is>
      </c>
      <c r="X94" t="inlineStr">
        <is>
          <t>32</t>
        </is>
      </c>
      <c r="Y94" t="inlineStr">
        <is>
          <t>4.9383</t>
        </is>
      </c>
      <c r="Z94" t="n">
        <v>1</v>
      </c>
      <c r="AA94" t="n">
        <v>0</v>
      </c>
      <c r="AB94" t="inlineStr">
        <is>
          <t>No mention of vitamins or supplements; ingestion is accidental but no specific substance mentioned.</t>
        </is>
      </c>
    </row>
    <row r="95">
      <c r="A95" t="inlineStr">
        <is>
          <t>170435020</t>
        </is>
      </c>
      <c r="B95" t="inlineStr">
        <is>
          <t>2017-02-11 00:00:00</t>
        </is>
      </c>
      <c r="C95" t="inlineStr">
        <is>
          <t>222</t>
        </is>
      </c>
      <c r="D95" t="inlineStr">
        <is>
          <t>1</t>
        </is>
      </c>
      <c r="E95" t="inlineStr">
        <is>
          <t>1</t>
        </is>
      </c>
      <c r="F95" t="inlineStr"/>
      <c r="G95" t="inlineStr"/>
      <c r="H95" t="inlineStr">
        <is>
          <t>85</t>
        </is>
      </c>
      <c r="I95" t="inlineStr">
        <is>
          <t>68</t>
        </is>
      </c>
      <c r="J95" t="inlineStr"/>
      <c r="K95" t="inlineStr"/>
      <c r="L95" t="inlineStr"/>
      <c r="M95" t="inlineStr"/>
      <c r="N95" t="inlineStr">
        <is>
          <t>5</t>
        </is>
      </c>
      <c r="O95" t="inlineStr">
        <is>
          <t>1</t>
        </is>
      </c>
      <c r="P95" t="inlineStr">
        <is>
          <t>0</t>
        </is>
      </c>
      <c r="Q95" t="inlineStr">
        <is>
          <t>1135</t>
        </is>
      </c>
      <c r="R95" t="inlineStr">
        <is>
          <t>1928</t>
        </is>
      </c>
      <c r="S95" t="inlineStr">
        <is>
          <t>0</t>
        </is>
      </c>
      <c r="T95" t="inlineStr"/>
      <c r="U95" t="inlineStr"/>
      <c r="V95" t="inlineStr">
        <is>
          <t>POSSIBLE TOXIC ING/1YOWM ALONE W/BOTTLE OF *** WHIL@SISTERS HM.SISTER WAS SUPPOSED TO WATCH HIM.PT FOUND W/PINK ON FACE(CAPSULE IS PINK)</t>
        </is>
      </c>
      <c r="W95" t="inlineStr">
        <is>
          <t>S</t>
        </is>
      </c>
      <c r="X95" t="inlineStr">
        <is>
          <t>43</t>
        </is>
      </c>
      <c r="Y95" t="inlineStr">
        <is>
          <t>77.6641</t>
        </is>
      </c>
      <c r="Z95" t="n">
        <v>0</v>
      </c>
      <c r="AA95" t="n">
        <v>0</v>
      </c>
      <c r="AB95" t="inlineStr">
        <is>
          <t>No explicit mention of a vitamin or supplement, and presence of 'laundry detergent' which is a chemical.</t>
        </is>
      </c>
    </row>
    <row r="96">
      <c r="A96" t="inlineStr">
        <is>
          <t>130737186</t>
        </is>
      </c>
      <c r="B96" t="inlineStr">
        <is>
          <t>2013-07-12 00:00:00</t>
        </is>
      </c>
      <c r="C96" t="inlineStr">
        <is>
          <t>36</t>
        </is>
      </c>
      <c r="D96" t="inlineStr">
        <is>
          <t>2</t>
        </is>
      </c>
      <c r="E96" t="inlineStr">
        <is>
          <t>1</t>
        </is>
      </c>
      <c r="F96" t="inlineStr"/>
      <c r="G96" t="inlineStr"/>
      <c r="H96" t="inlineStr">
        <is>
          <t>85</t>
        </is>
      </c>
      <c r="I96" t="inlineStr">
        <is>
          <t>68</t>
        </is>
      </c>
      <c r="J96" t="inlineStr"/>
      <c r="K96" t="inlineStr"/>
      <c r="L96" t="inlineStr"/>
      <c r="M96" t="inlineStr"/>
      <c r="N96" t="inlineStr">
        <is>
          <t>1</t>
        </is>
      </c>
      <c r="O96" t="inlineStr">
        <is>
          <t>5</t>
        </is>
      </c>
      <c r="P96" t="inlineStr">
        <is>
          <t>0</t>
        </is>
      </c>
      <c r="Q96" t="inlineStr">
        <is>
          <t>954</t>
        </is>
      </c>
      <c r="R96" t="inlineStr">
        <is>
          <t>0</t>
        </is>
      </c>
      <c r="S96" t="inlineStr">
        <is>
          <t>0</t>
        </is>
      </c>
      <c r="T96" t="inlineStr"/>
      <c r="U96" t="inlineStr"/>
      <c r="V96" t="inlineStr">
        <is>
          <t>36 YOF WAS IN HOTEL ROOM AND SMELLED POSSIBLY A CLEANING PRODUCT SETTING OFF AN ASTHMA ATTACK, TROUBLE BREATHING AND SPEAKING</t>
        </is>
      </c>
      <c r="W96" t="inlineStr">
        <is>
          <t>V</t>
        </is>
      </c>
      <c r="X96" t="inlineStr">
        <is>
          <t>61</t>
        </is>
      </c>
      <c r="Y96" t="inlineStr">
        <is>
          <t>14.8537</t>
        </is>
      </c>
      <c r="Z96" t="n">
        <v>0</v>
      </c>
      <c r="AA96" t="n">
        <v>0</v>
      </c>
      <c r="AB96" t="inlineStr">
        <is>
          <t>Mentions 'cleaning product' which is a household chemical, not a supplement.</t>
        </is>
      </c>
    </row>
    <row r="97">
      <c r="A97" t="inlineStr">
        <is>
          <t>70558301</t>
        </is>
      </c>
      <c r="B97" t="inlineStr">
        <is>
          <t>2007-05-17 00:00:00</t>
        </is>
      </c>
      <c r="C97" t="inlineStr">
        <is>
          <t>208</t>
        </is>
      </c>
      <c r="D97" t="inlineStr">
        <is>
          <t>2</t>
        </is>
      </c>
      <c r="E97" t="inlineStr">
        <is>
          <t>1</t>
        </is>
      </c>
      <c r="F97" t="inlineStr"/>
      <c r="G97" t="inlineStr"/>
      <c r="H97" t="inlineStr">
        <is>
          <t>85</t>
        </is>
      </c>
      <c r="I97" t="inlineStr">
        <is>
          <t>68</t>
        </is>
      </c>
      <c r="J97" t="inlineStr"/>
      <c r="K97" t="inlineStr"/>
      <c r="L97" t="inlineStr"/>
      <c r="M97" t="inlineStr"/>
      <c r="N97" t="inlineStr">
        <is>
          <t>1</t>
        </is>
      </c>
      <c r="O97" t="inlineStr">
        <is>
          <t>0</t>
        </is>
      </c>
      <c r="P97" t="inlineStr">
        <is>
          <t>0</t>
        </is>
      </c>
      <c r="Q97" t="inlineStr">
        <is>
          <t>1927</t>
        </is>
      </c>
      <c r="R97" t="inlineStr">
        <is>
          <t>0</t>
        </is>
      </c>
      <c r="S97" t="inlineStr">
        <is>
          <t>0</t>
        </is>
      </c>
      <c r="T97" t="inlineStr"/>
      <c r="U97" t="inlineStr"/>
      <c r="V97" t="inlineStr">
        <is>
          <t>SEEN BY PCP, DIAGNOSED W/EAR INFECTION, GIVEN ***, NOW W/DIARRHEA FROMMEDICATION; ACUTE URI OF UNSPECIFIED SITE, ACUTE OTITIS MEDIA</t>
        </is>
      </c>
      <c r="W97" t="inlineStr">
        <is>
          <t>C</t>
        </is>
      </c>
      <c r="X97" t="inlineStr">
        <is>
          <t>8</t>
        </is>
      </c>
      <c r="Y97" t="inlineStr">
        <is>
          <t>5.4609</t>
        </is>
      </c>
      <c r="Z97" t="n">
        <v>1</v>
      </c>
      <c r="AA97" t="n">
        <v>0</v>
      </c>
      <c r="AB97" t="inlineStr">
        <is>
          <t>No mention of vitamins or supplements.</t>
        </is>
      </c>
    </row>
    <row r="98">
      <c r="A98" t="inlineStr">
        <is>
          <t>70441840</t>
        </is>
      </c>
      <c r="B98" t="inlineStr">
        <is>
          <t>2007-04-13 00:00:00</t>
        </is>
      </c>
      <c r="C98" t="inlineStr">
        <is>
          <t>4</t>
        </is>
      </c>
      <c r="D98" t="inlineStr">
        <is>
          <t>2</t>
        </is>
      </c>
      <c r="E98" t="inlineStr">
        <is>
          <t>0</t>
        </is>
      </c>
      <c r="F98" t="inlineStr"/>
      <c r="G98" t="inlineStr"/>
      <c r="H98" t="inlineStr">
        <is>
          <t>85</t>
        </is>
      </c>
      <c r="I98" t="inlineStr">
        <is>
          <t>68</t>
        </is>
      </c>
      <c r="J98" t="inlineStr"/>
      <c r="K98" t="inlineStr"/>
      <c r="L98" t="inlineStr"/>
      <c r="M98" t="inlineStr"/>
      <c r="N98" t="inlineStr">
        <is>
          <t>1</t>
        </is>
      </c>
      <c r="O98" t="inlineStr">
        <is>
          <t>1</t>
        </is>
      </c>
      <c r="P98" t="inlineStr">
        <is>
          <t>0</t>
        </is>
      </c>
      <c r="Q98" t="inlineStr">
        <is>
          <t>1927</t>
        </is>
      </c>
      <c r="R98" t="inlineStr">
        <is>
          <t>0</t>
        </is>
      </c>
      <c r="S98" t="inlineStr">
        <is>
          <t>0</t>
        </is>
      </c>
      <c r="T98" t="inlineStr"/>
      <c r="U98" t="inlineStr"/>
      <c r="V98" t="inlineStr">
        <is>
          <t>ALLERGY TO ***ICILLIN LIQUID MEDS DX: RASH</t>
        </is>
      </c>
      <c r="W98" t="inlineStr">
        <is>
          <t>C</t>
        </is>
      </c>
      <c r="X98" t="inlineStr">
        <is>
          <t>37</t>
        </is>
      </c>
      <c r="Y98" t="inlineStr">
        <is>
          <t>6.241</t>
        </is>
      </c>
      <c r="Z98" t="n">
        <v>1</v>
      </c>
      <c r="AA98" t="n">
        <v>0</v>
      </c>
      <c r="AB98" t="inlineStr">
        <is>
          <t>Mentions 'liquid meds' which are medications, not supplements.</t>
        </is>
      </c>
    </row>
    <row r="99">
      <c r="A99" t="inlineStr">
        <is>
          <t>211052778</t>
        </is>
      </c>
      <c r="B99" t="inlineStr">
        <is>
          <t>2021-08-27 00:00:00</t>
        </is>
      </c>
      <c r="C99" t="inlineStr">
        <is>
          <t>4</t>
        </is>
      </c>
      <c r="D99" t="inlineStr">
        <is>
          <t>1</t>
        </is>
      </c>
      <c r="E99" t="inlineStr">
        <is>
          <t>0</t>
        </is>
      </c>
      <c r="F99" t="inlineStr"/>
      <c r="G99" t="inlineStr">
        <is>
          <t>0</t>
        </is>
      </c>
      <c r="H99" t="inlineStr">
        <is>
          <t>85</t>
        </is>
      </c>
      <c r="I99" t="inlineStr">
        <is>
          <t>68</t>
        </is>
      </c>
      <c r="J99" t="inlineStr"/>
      <c r="K99" t="inlineStr"/>
      <c r="L99" t="inlineStr"/>
      <c r="M99" t="inlineStr"/>
      <c r="N99" t="inlineStr">
        <is>
          <t>1</t>
        </is>
      </c>
      <c r="O99" t="inlineStr">
        <is>
          <t>1</t>
        </is>
      </c>
      <c r="P99" t="inlineStr">
        <is>
          <t>0</t>
        </is>
      </c>
      <c r="Q99" t="inlineStr">
        <is>
          <t>954</t>
        </is>
      </c>
      <c r="R99" t="inlineStr">
        <is>
          <t>0</t>
        </is>
      </c>
      <c r="S99" t="inlineStr">
        <is>
          <t>0</t>
        </is>
      </c>
      <c r="T99" t="inlineStr">
        <is>
          <t>0</t>
        </is>
      </c>
      <c r="U99" t="inlineStr">
        <is>
          <t>0</t>
        </is>
      </c>
      <c r="V99" t="inlineStr">
        <is>
          <t>4- YOM - WHO PRESENTS AFTER MOTHER SUSPECTED HIM INGESTING A DRINK OF *** SOLUTION@ IN BACK OF CAR.  08/27/21 21:08 CASE WAS DISCUSSED WITH POISON CONTROL WHO ADVISED MONITORING PATIENT FOR AN HOUR. THEY DID NOT RECOMMEND ANY LABS. DX: POSSIBLE INGESTION</t>
        </is>
      </c>
      <c r="W99" t="inlineStr">
        <is>
          <t>S</t>
        </is>
      </c>
      <c r="X99" t="inlineStr">
        <is>
          <t>48</t>
        </is>
      </c>
      <c r="Y99" t="inlineStr">
        <is>
          <t>71.1697</t>
        </is>
      </c>
      <c r="Z99" t="n">
        <v>0</v>
      </c>
      <c r="AA99" t="n">
        <v>0</v>
      </c>
      <c r="AB99" t="inlineStr">
        <is>
          <t>No explicit mention of a vitamin or supplement, and no iron-containing formulation mentioned.</t>
        </is>
      </c>
    </row>
    <row r="100">
      <c r="A100" t="inlineStr">
        <is>
          <t>71209716</t>
        </is>
      </c>
      <c r="B100" t="inlineStr">
        <is>
          <t>2007-12-03 00:00:00</t>
        </is>
      </c>
      <c r="C100" t="inlineStr">
        <is>
          <t>33</t>
        </is>
      </c>
      <c r="D100" t="inlineStr">
        <is>
          <t>1</t>
        </is>
      </c>
      <c r="E100" t="inlineStr">
        <is>
          <t>0</t>
        </is>
      </c>
      <c r="F100" t="inlineStr"/>
      <c r="G100" t="inlineStr"/>
      <c r="H100" t="inlineStr">
        <is>
          <t>85</t>
        </is>
      </c>
      <c r="I100" t="inlineStr">
        <is>
          <t>68</t>
        </is>
      </c>
      <c r="J100" t="inlineStr"/>
      <c r="K100" t="inlineStr"/>
      <c r="L100" t="inlineStr"/>
      <c r="M100" t="inlineStr"/>
      <c r="N100" t="inlineStr">
        <is>
          <t>1</t>
        </is>
      </c>
      <c r="O100" t="inlineStr">
        <is>
          <t>0</t>
        </is>
      </c>
      <c r="P100" t="inlineStr">
        <is>
          <t>0</t>
        </is>
      </c>
      <c r="Q100" t="inlineStr">
        <is>
          <t>1619</t>
        </is>
      </c>
      <c r="R100" t="inlineStr">
        <is>
          <t>0</t>
        </is>
      </c>
      <c r="S100" t="inlineStr">
        <is>
          <t>0</t>
        </is>
      </c>
      <c r="T100" t="inlineStr"/>
      <c r="U100" t="inlineStr"/>
      <c r="V100" t="inlineStr">
        <is>
          <t>AOB, BIB EMS FOR EVA S/P GOT AGITATED P BEING *** &gt;&gt; ETOH INTOX, BAC=195</t>
        </is>
      </c>
      <c r="W100" t="inlineStr">
        <is>
          <t>V</t>
        </is>
      </c>
      <c r="X100" t="inlineStr">
        <is>
          <t>21</t>
        </is>
      </c>
      <c r="Y100" t="inlineStr">
        <is>
          <t>15.8664</t>
        </is>
      </c>
      <c r="Z100" t="n">
        <v>0</v>
      </c>
      <c r="AA100" t="n">
        <v>0</v>
      </c>
      <c r="AB100" t="inlineStr">
        <is>
          <t>No mention of vitamins or supplements; only mentions alcohol intoxication.</t>
        </is>
      </c>
    </row>
    <row r="101">
      <c r="A101" t="inlineStr">
        <is>
          <t>150135210</t>
        </is>
      </c>
      <c r="B101" t="inlineStr">
        <is>
          <t>2014-12-26 00:00:00</t>
        </is>
      </c>
      <c r="C101" t="inlineStr">
        <is>
          <t>3</t>
        </is>
      </c>
      <c r="D101" t="inlineStr">
        <is>
          <t>2</t>
        </is>
      </c>
      <c r="E101" t="inlineStr">
        <is>
          <t>0</t>
        </is>
      </c>
      <c r="F101" t="inlineStr"/>
      <c r="G101" t="inlineStr"/>
      <c r="H101" t="inlineStr">
        <is>
          <t>85</t>
        </is>
      </c>
      <c r="I101" t="inlineStr">
        <is>
          <t>68</t>
        </is>
      </c>
      <c r="J101" t="inlineStr"/>
      <c r="K101" t="inlineStr"/>
      <c r="L101" t="inlineStr"/>
      <c r="M101" t="inlineStr"/>
      <c r="N101" t="inlineStr">
        <is>
          <t>1</t>
        </is>
      </c>
      <c r="O101" t="inlineStr">
        <is>
          <t>1</t>
        </is>
      </c>
      <c r="P101" t="inlineStr">
        <is>
          <t>0</t>
        </is>
      </c>
      <c r="Q101" t="inlineStr">
        <is>
          <t>1932</t>
        </is>
      </c>
      <c r="R101" t="inlineStr">
        <is>
          <t>0</t>
        </is>
      </c>
      <c r="S101" t="inlineStr">
        <is>
          <t>0</t>
        </is>
      </c>
      <c r="T101" t="inlineStr"/>
      <c r="U101" t="inlineStr"/>
      <c r="V101" t="inlineStr">
        <is>
          <t>ACCID. INGESTION OF ALBUTEROL: 3YOF ACCID. INGESTING 2 VIALS ALBUTEROLNEBULIZER SOLUTION, MOM STATES WITNESSED PT DRINK @ LEAST (1) VIAL</t>
        </is>
      </c>
      <c r="W101" t="inlineStr">
        <is>
          <t>S</t>
        </is>
      </c>
      <c r="X101" t="inlineStr">
        <is>
          <t>66</t>
        </is>
      </c>
      <c r="Y101" t="inlineStr">
        <is>
          <t>82.3076</t>
        </is>
      </c>
      <c r="Z101" t="n">
        <v>1</v>
      </c>
      <c r="AA101" t="n">
        <v>0</v>
      </c>
      <c r="AB101" t="inlineStr">
        <is>
          <t>Albuterol is a medication, not a supplement.</t>
        </is>
      </c>
    </row>
    <row r="102">
      <c r="A102" t="inlineStr">
        <is>
          <t>130443633</t>
        </is>
      </c>
      <c r="B102" t="inlineStr">
        <is>
          <t>2013-04-19 00:00:00</t>
        </is>
      </c>
      <c r="C102" t="inlineStr">
        <is>
          <t>68</t>
        </is>
      </c>
      <c r="D102" t="inlineStr">
        <is>
          <t>1</t>
        </is>
      </c>
      <c r="E102" t="inlineStr">
        <is>
          <t>1</t>
        </is>
      </c>
      <c r="F102" t="inlineStr"/>
      <c r="G102" t="inlineStr"/>
      <c r="H102" t="inlineStr">
        <is>
          <t>85</t>
        </is>
      </c>
      <c r="I102" t="inlineStr">
        <is>
          <t>68</t>
        </is>
      </c>
      <c r="J102" t="inlineStr"/>
      <c r="K102" t="inlineStr"/>
      <c r="L102" t="inlineStr"/>
      <c r="M102" t="inlineStr"/>
      <c r="N102" t="inlineStr">
        <is>
          <t>4</t>
        </is>
      </c>
      <c r="O102" t="inlineStr">
        <is>
          <t>9</t>
        </is>
      </c>
      <c r="P102" t="inlineStr">
        <is>
          <t>0</t>
        </is>
      </c>
      <c r="Q102" t="inlineStr">
        <is>
          <t>1212</t>
        </is>
      </c>
      <c r="R102" t="inlineStr">
        <is>
          <t>0</t>
        </is>
      </c>
      <c r="S102" t="inlineStr">
        <is>
          <t>0</t>
        </is>
      </c>
      <c r="T102" t="inlineStr"/>
      <c r="U102" t="inlineStr"/>
      <c r="V102" t="inlineStr">
        <is>
          <t>68YOM, HX ATRIAL FLUTTER &amp; SVT, HAS PALPITATIONS. WORSE S/P GOLF.SWITCHED TO *** 3 DAYS AGO. ON ***. DX:SUPRATHR INR,ELEV TROP.</t>
        </is>
      </c>
      <c r="W102" t="inlineStr">
        <is>
          <t>L</t>
        </is>
      </c>
      <c r="X102" t="inlineStr">
        <is>
          <t>89</t>
        </is>
      </c>
      <c r="Y102" t="inlineStr">
        <is>
          <t>77.2173</t>
        </is>
      </c>
      <c r="Z102" t="n">
        <v>0</v>
      </c>
      <c r="AA102" t="n">
        <v>0</v>
      </c>
      <c r="AB102" t="inlineStr">
        <is>
          <t>No mention of vitamins or dietary supplements.</t>
        </is>
      </c>
    </row>
    <row r="103">
      <c r="A103" t="inlineStr">
        <is>
          <t>121125751</t>
        </is>
      </c>
      <c r="B103" t="inlineStr">
        <is>
          <t>2012-09-09 00:00:00</t>
        </is>
      </c>
      <c r="C103" t="inlineStr">
        <is>
          <t>2</t>
        </is>
      </c>
      <c r="D103" t="inlineStr">
        <is>
          <t>1</t>
        </is>
      </c>
      <c r="E103" t="inlineStr">
        <is>
          <t>1</t>
        </is>
      </c>
      <c r="F103" t="inlineStr"/>
      <c r="G103" t="inlineStr"/>
      <c r="H103" t="inlineStr">
        <is>
          <t>85</t>
        </is>
      </c>
      <c r="I103" t="inlineStr">
        <is>
          <t>68</t>
        </is>
      </c>
      <c r="J103" t="inlineStr"/>
      <c r="K103" t="inlineStr"/>
      <c r="L103" t="inlineStr"/>
      <c r="M103" t="inlineStr"/>
      <c r="N103" t="inlineStr">
        <is>
          <t>1</t>
        </is>
      </c>
      <c r="O103" t="inlineStr">
        <is>
          <t>1</t>
        </is>
      </c>
      <c r="P103" t="inlineStr">
        <is>
          <t>0</t>
        </is>
      </c>
      <c r="Q103" t="inlineStr">
        <is>
          <t>1913</t>
        </is>
      </c>
      <c r="R103" t="inlineStr">
        <is>
          <t>0</t>
        </is>
      </c>
      <c r="S103" t="inlineStr">
        <is>
          <t>0</t>
        </is>
      </c>
      <c r="T103" t="inlineStr"/>
      <c r="U103" t="inlineStr"/>
      <c r="V103" t="inlineStr">
        <is>
          <t>2 YOM DX ACCIDENTAL INGESTION - S/P PT MIGHT HAV SWALLOWED HAIR DYEFOAMER FOUND AROUND MOUTH</t>
        </is>
      </c>
      <c r="W103" t="inlineStr">
        <is>
          <t>V</t>
        </is>
      </c>
      <c r="X103" t="inlineStr">
        <is>
          <t>57</t>
        </is>
      </c>
      <c r="Y103" t="inlineStr">
        <is>
          <t>15.5286</t>
        </is>
      </c>
      <c r="Z103" t="n">
        <v>0</v>
      </c>
      <c r="AA103" t="n">
        <v>0</v>
      </c>
      <c r="AB103" t="inlineStr">
        <is>
          <t>No mention of vitamins or supplements, only household chemical (hair dye foam) and accidental ingestion.</t>
        </is>
      </c>
    </row>
    <row r="104">
      <c r="A104" t="inlineStr">
        <is>
          <t>131026051</t>
        </is>
      </c>
      <c r="B104" t="inlineStr">
        <is>
          <t>2013-10-07 00:00:00</t>
        </is>
      </c>
      <c r="C104" t="inlineStr">
        <is>
          <t>220</t>
        </is>
      </c>
      <c r="D104" t="inlineStr">
        <is>
          <t>2</t>
        </is>
      </c>
      <c r="E104" t="inlineStr">
        <is>
          <t>1</t>
        </is>
      </c>
      <c r="F104" t="inlineStr"/>
      <c r="G104" t="inlineStr"/>
      <c r="H104" t="inlineStr">
        <is>
          <t>85</t>
        </is>
      </c>
      <c r="I104" t="inlineStr">
        <is>
          <t>68</t>
        </is>
      </c>
      <c r="J104" t="inlineStr"/>
      <c r="K104" t="inlineStr"/>
      <c r="L104" t="inlineStr"/>
      <c r="M104" t="inlineStr"/>
      <c r="N104" t="inlineStr">
        <is>
          <t>1</t>
        </is>
      </c>
      <c r="O104" t="inlineStr">
        <is>
          <t>0</t>
        </is>
      </c>
      <c r="P104" t="inlineStr">
        <is>
          <t>0</t>
        </is>
      </c>
      <c r="Q104" t="inlineStr">
        <is>
          <t>1931</t>
        </is>
      </c>
      <c r="R104" t="inlineStr">
        <is>
          <t>0</t>
        </is>
      </c>
      <c r="S104" t="inlineStr">
        <is>
          <t>0</t>
        </is>
      </c>
      <c r="T104" t="inlineStr"/>
      <c r="U104" t="inlineStr"/>
      <c r="V104" t="inlineStr">
        <is>
          <t>+20 MOF MOM SAW HER W/CHEWED UP PINK PILL SAW HER ATTEMPT TO SWALLOWHER DIET PILL BUT SPIT IT OUT DX. ACCIDENTAL INGESTION</t>
        </is>
      </c>
      <c r="W104" t="inlineStr">
        <is>
          <t>V</t>
        </is>
      </c>
      <c r="X104" t="inlineStr">
        <is>
          <t>64</t>
        </is>
      </c>
      <c r="Y104" t="inlineStr">
        <is>
          <t>15.5289</t>
        </is>
      </c>
      <c r="Z104" t="n">
        <v>1</v>
      </c>
      <c r="AA104" t="n">
        <v>0</v>
      </c>
      <c r="AB104" t="inlineStr">
        <is>
          <t>Mentions 'DIET PILL' which is a medication, not a supplement.</t>
        </is>
      </c>
    </row>
    <row r="105">
      <c r="A105" t="inlineStr">
        <is>
          <t>50852659</t>
        </is>
      </c>
      <c r="B105" t="inlineStr">
        <is>
          <t>2005-07-12 00:00:00</t>
        </is>
      </c>
      <c r="C105" t="inlineStr">
        <is>
          <t>220</t>
        </is>
      </c>
      <c r="D105" t="inlineStr">
        <is>
          <t>1</t>
        </is>
      </c>
      <c r="E105" t="inlineStr">
        <is>
          <t>2</t>
        </is>
      </c>
      <c r="F105" t="inlineStr"/>
      <c r="G105" t="inlineStr"/>
      <c r="H105" t="inlineStr">
        <is>
          <t>85</t>
        </is>
      </c>
      <c r="I105" t="inlineStr">
        <is>
          <t>68</t>
        </is>
      </c>
      <c r="J105" t="inlineStr"/>
      <c r="K105" t="inlineStr"/>
      <c r="L105" t="inlineStr"/>
      <c r="M105" t="inlineStr"/>
      <c r="N105" t="inlineStr">
        <is>
          <t>5</t>
        </is>
      </c>
      <c r="O105" t="inlineStr">
        <is>
          <t>1</t>
        </is>
      </c>
      <c r="P105" t="inlineStr">
        <is>
          <t>0</t>
        </is>
      </c>
      <c r="Q105" t="inlineStr">
        <is>
          <t>1931</t>
        </is>
      </c>
      <c r="R105" t="inlineStr">
        <is>
          <t>4057</t>
        </is>
      </c>
      <c r="S105" t="inlineStr">
        <is>
          <t>0</t>
        </is>
      </c>
      <c r="T105" t="inlineStr"/>
      <c r="U105" t="inlineStr"/>
      <c r="V105" t="inlineStr">
        <is>
          <t>MOM FOUND CHILD NEAR PILLS SPILL ON A TABLE- OPEN CAN OF SODA THATWET POSSIBLE MEDICATION OVERDOSE</t>
        </is>
      </c>
      <c r="W105" t="inlineStr">
        <is>
          <t>C</t>
        </is>
      </c>
      <c r="X105" t="inlineStr">
        <is>
          <t>31</t>
        </is>
      </c>
      <c r="Y105" t="inlineStr">
        <is>
          <t>5.8147</t>
        </is>
      </c>
      <c r="Z105" t="n">
        <v>1</v>
      </c>
      <c r="AA105" t="n">
        <v>0</v>
      </c>
      <c r="AB105" t="inlineStr">
        <is>
          <t>No explicit mention of vitamin or dietary supplement, and presence of 'possible medication overdose' suggests it's not a supplement.</t>
        </is>
      </c>
    </row>
    <row r="106">
      <c r="A106" t="inlineStr">
        <is>
          <t>180719404</t>
        </is>
      </c>
      <c r="B106" t="inlineStr">
        <is>
          <t>2018-06-29 00:00:00</t>
        </is>
      </c>
      <c r="C106" t="inlineStr">
        <is>
          <t>222</t>
        </is>
      </c>
      <c r="D106" t="inlineStr">
        <is>
          <t>1</t>
        </is>
      </c>
      <c r="E106" t="inlineStr">
        <is>
          <t>0</t>
        </is>
      </c>
      <c r="F106" t="inlineStr"/>
      <c r="G106" t="inlineStr"/>
      <c r="H106" t="inlineStr">
        <is>
          <t>85</t>
        </is>
      </c>
      <c r="I106" t="inlineStr">
        <is>
          <t>68</t>
        </is>
      </c>
      <c r="J106" t="inlineStr"/>
      <c r="K106" t="inlineStr"/>
      <c r="L106" t="inlineStr"/>
      <c r="M106" t="inlineStr"/>
      <c r="N106" t="inlineStr">
        <is>
          <t>1</t>
        </is>
      </c>
      <c r="O106" t="inlineStr">
        <is>
          <t>1</t>
        </is>
      </c>
      <c r="P106" t="inlineStr">
        <is>
          <t>0</t>
        </is>
      </c>
      <c r="Q106" t="inlineStr">
        <is>
          <t>1931</t>
        </is>
      </c>
      <c r="R106" t="inlineStr">
        <is>
          <t>0</t>
        </is>
      </c>
      <c r="S106" t="inlineStr">
        <is>
          <t>0</t>
        </is>
      </c>
      <c r="T106" t="inlineStr"/>
      <c r="U106" t="inlineStr"/>
      <c r="V106" t="inlineStr">
        <is>
          <t>01YOM AT HOME POSSIBLE *** INGESTION/DX ACCIDENTAL INGESTION OF ***</t>
        </is>
      </c>
      <c r="W106" t="inlineStr">
        <is>
          <t>S</t>
        </is>
      </c>
      <c r="X106" t="inlineStr">
        <is>
          <t>94</t>
        </is>
      </c>
      <c r="Y106" t="inlineStr">
        <is>
          <t>74.8065</t>
        </is>
      </c>
      <c r="Z106" t="n">
        <v>1</v>
      </c>
      <c r="AA106" t="n">
        <v>0</v>
      </c>
      <c r="AB106" t="inlineStr">
        <is>
          <t>No explicit mention of vitamin or dietary supplement; ingestion/dx accident is too vague to imply a supplement.</t>
        </is>
      </c>
    </row>
    <row r="107">
      <c r="A107" t="inlineStr">
        <is>
          <t>61211263</t>
        </is>
      </c>
      <c r="B107" t="inlineStr">
        <is>
          <t>2006-11-30 00:00:00</t>
        </is>
      </c>
      <c r="C107" t="inlineStr">
        <is>
          <t>216</t>
        </is>
      </c>
      <c r="D107" t="inlineStr">
        <is>
          <t>1</t>
        </is>
      </c>
      <c r="E107" t="inlineStr">
        <is>
          <t>2</t>
        </is>
      </c>
      <c r="F107" t="inlineStr"/>
      <c r="G107" t="inlineStr"/>
      <c r="H107" t="inlineStr">
        <is>
          <t>85</t>
        </is>
      </c>
      <c r="I107" t="inlineStr">
        <is>
          <t>68</t>
        </is>
      </c>
      <c r="J107" t="inlineStr"/>
      <c r="K107" t="inlineStr"/>
      <c r="L107" t="inlineStr"/>
      <c r="M107" t="inlineStr"/>
      <c r="N107" t="inlineStr">
        <is>
          <t>4</t>
        </is>
      </c>
      <c r="O107" t="inlineStr">
        <is>
          <t>1</t>
        </is>
      </c>
      <c r="P107" t="inlineStr">
        <is>
          <t>0</t>
        </is>
      </c>
      <c r="Q107" t="inlineStr">
        <is>
          <t>5555</t>
        </is>
      </c>
      <c r="R107" t="inlineStr">
        <is>
          <t>1932</t>
        </is>
      </c>
      <c r="S107" t="inlineStr">
        <is>
          <t>0</t>
        </is>
      </c>
      <c r="T107" t="inlineStr"/>
      <c r="U107" t="inlineStr"/>
      <c r="V107" t="inlineStr">
        <is>
          <t>@FAMILYS HM INGEST-CANNABINOIDS/EPHEDRINE/PSEUDOEPHEDRINE, STAGGERS/DROWSY/ATAXIC/ALTER MENT STATUS/SHALLOW RESPIRATION, RTN TO BASELINE 12/1</t>
        </is>
      </c>
      <c r="W107" t="inlineStr">
        <is>
          <t>C</t>
        </is>
      </c>
      <c r="X107" t="inlineStr">
        <is>
          <t>18</t>
        </is>
      </c>
      <c r="Y107" t="inlineStr">
        <is>
          <t>6.1438</t>
        </is>
      </c>
      <c r="Z107" t="n">
        <v>1</v>
      </c>
      <c r="AA107" t="n">
        <v>0</v>
      </c>
      <c r="AB107" t="inlineStr">
        <is>
          <t>No mention of vitamins or dietary supplements.</t>
        </is>
      </c>
    </row>
    <row r="108">
      <c r="A108" t="inlineStr">
        <is>
          <t>140246310</t>
        </is>
      </c>
      <c r="B108" t="inlineStr">
        <is>
          <t>2014-02-16 00:00:00</t>
        </is>
      </c>
      <c r="C108" t="inlineStr">
        <is>
          <t>39</t>
        </is>
      </c>
      <c r="D108" t="inlineStr">
        <is>
          <t>2</t>
        </is>
      </c>
      <c r="E108" t="inlineStr">
        <is>
          <t>1</t>
        </is>
      </c>
      <c r="F108" t="inlineStr"/>
      <c r="G108" t="inlineStr"/>
      <c r="H108" t="inlineStr">
        <is>
          <t>85</t>
        </is>
      </c>
      <c r="I108" t="inlineStr">
        <is>
          <t>68</t>
        </is>
      </c>
      <c r="J108" t="inlineStr"/>
      <c r="K108" t="inlineStr"/>
      <c r="L108" t="inlineStr"/>
      <c r="M108" t="inlineStr"/>
      <c r="N108" t="inlineStr">
        <is>
          <t>4</t>
        </is>
      </c>
      <c r="O108" t="inlineStr">
        <is>
          <t>0</t>
        </is>
      </c>
      <c r="P108" t="inlineStr">
        <is>
          <t>0</t>
        </is>
      </c>
      <c r="Q108" t="inlineStr">
        <is>
          <t>3278</t>
        </is>
      </c>
      <c r="R108" t="inlineStr">
        <is>
          <t>0</t>
        </is>
      </c>
      <c r="S108" t="inlineStr">
        <is>
          <t>0</t>
        </is>
      </c>
      <c r="T108" t="inlineStr"/>
      <c r="U108" t="inlineStr"/>
      <c r="V108" t="inlineStr">
        <is>
          <t>39 YO F,BIB FAMILY S/P COLLAPSE WHILE DRINKING, DANCING,SMOKING HOOKAH,C/O CHEST PAIN AND DIZZINESS, BAL 43, DX SYNCOPE</t>
        </is>
      </c>
      <c r="W108" t="inlineStr">
        <is>
          <t>L</t>
        </is>
      </c>
      <c r="X108" t="inlineStr">
        <is>
          <t>51</t>
        </is>
      </c>
      <c r="Y108" t="inlineStr">
        <is>
          <t>74.3851</t>
        </is>
      </c>
      <c r="Z108" t="n">
        <v>0</v>
      </c>
      <c r="AA108" t="n">
        <v>0</v>
      </c>
      <c r="AB108" t="inlineStr">
        <is>
          <t>No mention of vitamins or supplements.</t>
        </is>
      </c>
    </row>
    <row r="109">
      <c r="A109" t="inlineStr">
        <is>
          <t>81122016</t>
        </is>
      </c>
      <c r="B109" t="inlineStr">
        <is>
          <t>2008-11-02 00:00:00</t>
        </is>
      </c>
      <c r="C109" t="inlineStr">
        <is>
          <t>3</t>
        </is>
      </c>
      <c r="D109" t="inlineStr">
        <is>
          <t>2</t>
        </is>
      </c>
      <c r="E109" t="inlineStr">
        <is>
          <t>0</t>
        </is>
      </c>
      <c r="F109" t="inlineStr"/>
      <c r="G109" t="inlineStr"/>
      <c r="H109" t="inlineStr">
        <is>
          <t>85</t>
        </is>
      </c>
      <c r="I109" t="inlineStr">
        <is>
          <t>68</t>
        </is>
      </c>
      <c r="J109" t="inlineStr"/>
      <c r="K109" t="inlineStr"/>
      <c r="L109" t="inlineStr"/>
      <c r="M109" t="inlineStr"/>
      <c r="N109" t="inlineStr">
        <is>
          <t>1</t>
        </is>
      </c>
      <c r="O109" t="inlineStr">
        <is>
          <t>1</t>
        </is>
      </c>
      <c r="P109" t="inlineStr">
        <is>
          <t>0</t>
        </is>
      </c>
      <c r="Q109" t="inlineStr">
        <is>
          <t>1913</t>
        </is>
      </c>
      <c r="R109" t="inlineStr">
        <is>
          <t>0</t>
        </is>
      </c>
      <c r="S109" t="inlineStr">
        <is>
          <t>0</t>
        </is>
      </c>
      <c r="T109" t="inlineStr"/>
      <c r="U109" t="inlineStr"/>
      <c r="V109" t="inlineStr">
        <is>
          <t>DX: HIVES/ RASH/ IRRITANT SKIN RASH DUE TO BODY GLITTER; GIVEN ***</t>
        </is>
      </c>
      <c r="W109" t="inlineStr">
        <is>
          <t>C</t>
        </is>
      </c>
      <c r="X109" t="inlineStr">
        <is>
          <t>37</t>
        </is>
      </c>
      <c r="Y109" t="inlineStr">
        <is>
          <t>6.527</t>
        </is>
      </c>
      <c r="Z109" t="n">
        <v>0</v>
      </c>
      <c r="AA109" t="n">
        <v>0</v>
      </c>
      <c r="AB109" t="inlineStr">
        <is>
          <t>Body glitter is a cosmetic or decorative item, not a dietary supplement.</t>
        </is>
      </c>
    </row>
    <row r="110">
      <c r="A110" t="inlineStr">
        <is>
          <t>210206465</t>
        </is>
      </c>
      <c r="B110" t="inlineStr">
        <is>
          <t>2021-01-24 00:00:00</t>
        </is>
      </c>
      <c r="C110" t="inlineStr">
        <is>
          <t>2</t>
        </is>
      </c>
      <c r="D110" t="inlineStr">
        <is>
          <t>1</t>
        </is>
      </c>
      <c r="E110" t="inlineStr">
        <is>
          <t>0</t>
        </is>
      </c>
      <c r="F110" t="inlineStr"/>
      <c r="G110" t="inlineStr">
        <is>
          <t>0</t>
        </is>
      </c>
      <c r="H110" t="inlineStr">
        <is>
          <t>85</t>
        </is>
      </c>
      <c r="I110" t="inlineStr">
        <is>
          <t>68</t>
        </is>
      </c>
      <c r="J110" t="inlineStr"/>
      <c r="K110" t="inlineStr"/>
      <c r="L110" t="inlineStr"/>
      <c r="M110" t="inlineStr"/>
      <c r="N110" t="inlineStr">
        <is>
          <t>1</t>
        </is>
      </c>
      <c r="O110" t="inlineStr">
        <is>
          <t>1</t>
        </is>
      </c>
      <c r="P110" t="inlineStr">
        <is>
          <t>0</t>
        </is>
      </c>
      <c r="Q110" t="inlineStr">
        <is>
          <t>1932</t>
        </is>
      </c>
      <c r="R110" t="inlineStr">
        <is>
          <t>1807</t>
        </is>
      </c>
      <c r="S110" t="inlineStr">
        <is>
          <t>1127</t>
        </is>
      </c>
      <c r="T110" t="inlineStr">
        <is>
          <t>0</t>
        </is>
      </c>
      <c r="U110" t="inlineStr">
        <is>
          <t>1</t>
        </is>
      </c>
      <c r="V110" t="inlineStr">
        <is>
          <t>2YOM INGESTED SISTER'S HYDROXYZINE, FOUND WITH BOTTLE AND 15 BROKEN CAPSULES, WITH 25 MORE IN CRIB AND ON FLOOR DX: INGESTED MEDICATION</t>
        </is>
      </c>
      <c r="W110" t="inlineStr">
        <is>
          <t>C</t>
        </is>
      </c>
      <c r="X110" t="inlineStr">
        <is>
          <t>20</t>
        </is>
      </c>
      <c r="Y110" t="inlineStr">
        <is>
          <t>4.8516</t>
        </is>
      </c>
      <c r="Z110" t="n">
        <v>1</v>
      </c>
      <c r="AA110" t="n">
        <v>0</v>
      </c>
      <c r="AB110" t="inlineStr">
        <is>
          <t>Mentions 'hydroxyzine' which is an OTC medication, not a supplement.</t>
        </is>
      </c>
    </row>
    <row r="111">
      <c r="A111" t="inlineStr">
        <is>
          <t>130103470</t>
        </is>
      </c>
      <c r="B111" t="inlineStr">
        <is>
          <t>2012-12-01 00:00:00</t>
        </is>
      </c>
      <c r="C111" t="inlineStr">
        <is>
          <t>2</t>
        </is>
      </c>
      <c r="D111" t="inlineStr">
        <is>
          <t>1</t>
        </is>
      </c>
      <c r="E111" t="inlineStr">
        <is>
          <t>1</t>
        </is>
      </c>
      <c r="F111" t="inlineStr"/>
      <c r="G111" t="inlineStr"/>
      <c r="H111" t="inlineStr">
        <is>
          <t>85</t>
        </is>
      </c>
      <c r="I111" t="inlineStr">
        <is>
          <t>68</t>
        </is>
      </c>
      <c r="J111" t="inlineStr"/>
      <c r="K111" t="inlineStr"/>
      <c r="L111" t="inlineStr"/>
      <c r="M111" t="inlineStr"/>
      <c r="N111" t="inlineStr">
        <is>
          <t>6</t>
        </is>
      </c>
      <c r="O111" t="inlineStr">
        <is>
          <t>1</t>
        </is>
      </c>
      <c r="P111" t="inlineStr">
        <is>
          <t>0</t>
        </is>
      </c>
      <c r="Q111" t="inlineStr">
        <is>
          <t>1931</t>
        </is>
      </c>
      <c r="R111" t="inlineStr">
        <is>
          <t>0</t>
        </is>
      </c>
      <c r="S111" t="inlineStr">
        <is>
          <t>0</t>
        </is>
      </c>
      <c r="T111" t="inlineStr"/>
      <c r="U111" t="inlineStr"/>
      <c r="V111" t="inlineStr">
        <is>
          <t>2YOM PT TOOK ONE OF GRANDFATHER'S ***S AROUND 1450. POISON CONTROL STATES HE MAY FEEL A LITTLE TIRED, BUT SHOULD BE OK. DX. INGES -L</t>
        </is>
      </c>
      <c r="W111" t="inlineStr">
        <is>
          <t>M</t>
        </is>
      </c>
      <c r="X111" t="inlineStr">
        <is>
          <t>14</t>
        </is>
      </c>
      <c r="Y111" t="inlineStr">
        <is>
          <t>39.8822</t>
        </is>
      </c>
      <c r="Z111" t="n">
        <v>1</v>
      </c>
      <c r="AA111" t="n">
        <v>0</v>
      </c>
      <c r="AB111" t="inlineStr">
        <is>
          <t>No explicit mention of a vitamin or supplement; '***S' is unclear.</t>
        </is>
      </c>
    </row>
    <row r="112">
      <c r="A112" t="inlineStr">
        <is>
          <t>200846399</t>
        </is>
      </c>
      <c r="B112" t="inlineStr">
        <is>
          <t>2020-05-08 00:00:00</t>
        </is>
      </c>
      <c r="C112" t="inlineStr">
        <is>
          <t>3</t>
        </is>
      </c>
      <c r="D112" t="inlineStr">
        <is>
          <t>2</t>
        </is>
      </c>
      <c r="E112" t="inlineStr">
        <is>
          <t>1</t>
        </is>
      </c>
      <c r="F112" t="inlineStr"/>
      <c r="G112" t="inlineStr">
        <is>
          <t>1</t>
        </is>
      </c>
      <c r="H112" t="inlineStr">
        <is>
          <t>85</t>
        </is>
      </c>
      <c r="I112" t="inlineStr">
        <is>
          <t>68</t>
        </is>
      </c>
      <c r="J112" t="inlineStr"/>
      <c r="K112" t="inlineStr"/>
      <c r="L112" t="inlineStr"/>
      <c r="M112" t="inlineStr"/>
      <c r="N112" t="inlineStr">
        <is>
          <t>1</t>
        </is>
      </c>
      <c r="O112" t="inlineStr">
        <is>
          <t>0</t>
        </is>
      </c>
      <c r="P112" t="inlineStr">
        <is>
          <t>0</t>
        </is>
      </c>
      <c r="Q112" t="inlineStr">
        <is>
          <t>1927</t>
        </is>
      </c>
      <c r="R112" t="inlineStr">
        <is>
          <t>1928</t>
        </is>
      </c>
      <c r="S112" t="inlineStr">
        <is>
          <t>1135</t>
        </is>
      </c>
      <c r="T112" t="inlineStr">
        <is>
          <t>0</t>
        </is>
      </c>
      <c r="U112" t="inlineStr">
        <is>
          <t>1</t>
        </is>
      </c>
      <c r="V112" t="inlineStr">
        <is>
          <t>3YOF INGESTED ANTIHISTAMINE (15ML) TRIPROLIDINE HCL; PT FOUND WITH EMPTY BOTTLE, WELL-APPEARING; DX: ACCIDENTAL DRUG INGESTION ~</t>
        </is>
      </c>
      <c r="W112" t="inlineStr">
        <is>
          <t>C</t>
        </is>
      </c>
      <c r="X112" t="inlineStr">
        <is>
          <t>10</t>
        </is>
      </c>
      <c r="Y112" t="inlineStr">
        <is>
          <t>4.851</t>
        </is>
      </c>
      <c r="Z112" t="n">
        <v>1</v>
      </c>
      <c r="AA112" t="n">
        <v>0</v>
      </c>
      <c r="AB112" t="inlineStr">
        <is>
          <t>Mentions 'anitihistamine' and 'triprolidine hcl', which are medications, not supplements.</t>
        </is>
      </c>
    </row>
    <row r="113">
      <c r="A113" t="inlineStr">
        <is>
          <t>180823415</t>
        </is>
      </c>
      <c r="B113" t="inlineStr">
        <is>
          <t>2018-08-03 00:00:00</t>
        </is>
      </c>
      <c r="C113" t="inlineStr">
        <is>
          <t>44</t>
        </is>
      </c>
      <c r="D113" t="inlineStr">
        <is>
          <t>1</t>
        </is>
      </c>
      <c r="E113" t="inlineStr">
        <is>
          <t>0</t>
        </is>
      </c>
      <c r="F113" t="inlineStr"/>
      <c r="G113" t="inlineStr"/>
      <c r="H113" t="inlineStr">
        <is>
          <t>85</t>
        </is>
      </c>
      <c r="I113" t="inlineStr">
        <is>
          <t>68</t>
        </is>
      </c>
      <c r="J113" t="inlineStr"/>
      <c r="K113" t="inlineStr"/>
      <c r="L113" t="inlineStr"/>
      <c r="M113" t="inlineStr"/>
      <c r="N113" t="inlineStr">
        <is>
          <t>1</t>
        </is>
      </c>
      <c r="O113" t="inlineStr">
        <is>
          <t>1</t>
        </is>
      </c>
      <c r="P113" t="inlineStr">
        <is>
          <t>0</t>
        </is>
      </c>
      <c r="Q113" t="inlineStr">
        <is>
          <t>956</t>
        </is>
      </c>
      <c r="R113" t="inlineStr">
        <is>
          <t>0</t>
        </is>
      </c>
      <c r="S113" t="inlineStr">
        <is>
          <t>0</t>
        </is>
      </c>
      <c r="T113" t="inlineStr"/>
      <c r="U113" t="inlineStr"/>
      <c r="V113" t="inlineStr">
        <is>
          <t>44YOM REPORTS DOG SITTING WHEN DOG URINATED IN APT AND HE USED BLEACH  TO CLEAN WHEN HE INHALED THE FUMES. DX BLEACH EXPOSURE</t>
        </is>
      </c>
      <c r="W113" t="inlineStr">
        <is>
          <t>V</t>
        </is>
      </c>
      <c r="X113" t="inlineStr">
        <is>
          <t>77</t>
        </is>
      </c>
      <c r="Y113" t="inlineStr">
        <is>
          <t>19.7028</t>
        </is>
      </c>
      <c r="Z113" t="n">
        <v>0</v>
      </c>
      <c r="AA113" t="n">
        <v>0</v>
      </c>
      <c r="AB113" t="inlineStr">
        <is>
          <t>Bleach is a household chemical, not a supplement.</t>
        </is>
      </c>
    </row>
    <row r="114">
      <c r="A114" t="inlineStr">
        <is>
          <t>90740324</t>
        </is>
      </c>
      <c r="B114" t="inlineStr">
        <is>
          <t>2009-07-10 00:00:00</t>
        </is>
      </c>
      <c r="C114" t="inlineStr">
        <is>
          <t>2</t>
        </is>
      </c>
      <c r="D114" t="inlineStr">
        <is>
          <t>1</t>
        </is>
      </c>
      <c r="E114" t="inlineStr">
        <is>
          <t>1</t>
        </is>
      </c>
      <c r="F114" t="inlineStr"/>
      <c r="G114" t="inlineStr"/>
      <c r="H114" t="inlineStr">
        <is>
          <t>85</t>
        </is>
      </c>
      <c r="I114" t="inlineStr">
        <is>
          <t>68</t>
        </is>
      </c>
      <c r="J114" t="inlineStr"/>
      <c r="K114" t="inlineStr"/>
      <c r="L114" t="inlineStr"/>
      <c r="M114" t="inlineStr"/>
      <c r="N114" t="inlineStr">
        <is>
          <t>1</t>
        </is>
      </c>
      <c r="O114" t="inlineStr">
        <is>
          <t>1</t>
        </is>
      </c>
      <c r="P114" t="inlineStr">
        <is>
          <t>0</t>
        </is>
      </c>
      <c r="Q114" t="inlineStr">
        <is>
          <t>1931</t>
        </is>
      </c>
      <c r="R114" t="inlineStr">
        <is>
          <t>0</t>
        </is>
      </c>
      <c r="S114" t="inlineStr">
        <is>
          <t>0</t>
        </is>
      </c>
      <c r="T114" t="inlineStr"/>
      <c r="U114" t="inlineStr"/>
      <c r="V114" t="inlineStr">
        <is>
          <t>FOUND W/OPEN BOTTLE OF ***, ? ATE AP. 5 TABS. MOM CAN'T FIND PILLSDX:ACCIDENTAL OD</t>
        </is>
      </c>
      <c r="W114" t="inlineStr">
        <is>
          <t>M</t>
        </is>
      </c>
      <c r="X114" t="inlineStr">
        <is>
          <t>54</t>
        </is>
      </c>
      <c r="Y114" t="inlineStr">
        <is>
          <t>37.9286</t>
        </is>
      </c>
      <c r="Z114" t="n">
        <v>1</v>
      </c>
      <c r="AA114" t="n">
        <v>0</v>
      </c>
      <c r="AB114" t="inlineStr">
        <is>
          <t>Mentions 'pill' which is a medication, not a supplement.</t>
        </is>
      </c>
    </row>
    <row r="115">
      <c r="A115" t="inlineStr">
        <is>
          <t>190802255</t>
        </is>
      </c>
      <c r="B115" t="inlineStr">
        <is>
          <t>2019-07-22 00:00:00</t>
        </is>
      </c>
      <c r="C115" t="inlineStr">
        <is>
          <t>214</t>
        </is>
      </c>
      <c r="D115" t="inlineStr">
        <is>
          <t>1</t>
        </is>
      </c>
      <c r="E115" t="inlineStr">
        <is>
          <t>3</t>
        </is>
      </c>
      <c r="F115" t="inlineStr">
        <is>
          <t>MULTI-RACIAL</t>
        </is>
      </c>
      <c r="G115" t="inlineStr">
        <is>
          <t>0</t>
        </is>
      </c>
      <c r="H115" t="inlineStr">
        <is>
          <t>85</t>
        </is>
      </c>
      <c r="I115" t="inlineStr">
        <is>
          <t>68</t>
        </is>
      </c>
      <c r="J115" t="inlineStr"/>
      <c r="K115" t="inlineStr"/>
      <c r="L115" t="inlineStr"/>
      <c r="M115" t="inlineStr"/>
      <c r="N115" t="inlineStr">
        <is>
          <t>1</t>
        </is>
      </c>
      <c r="O115" t="inlineStr">
        <is>
          <t>0</t>
        </is>
      </c>
      <c r="P115" t="inlineStr">
        <is>
          <t>0</t>
        </is>
      </c>
      <c r="Q115" t="inlineStr">
        <is>
          <t>1931</t>
        </is>
      </c>
      <c r="R115" t="inlineStr">
        <is>
          <t>0</t>
        </is>
      </c>
      <c r="S115" t="inlineStr">
        <is>
          <t>0</t>
        </is>
      </c>
      <c r="T115" t="inlineStr">
        <is>
          <t>0</t>
        </is>
      </c>
      <c r="U115" t="inlineStr">
        <is>
          <t>1</t>
        </is>
      </c>
      <c r="V115" t="inlineStr">
        <is>
          <t>14MOM PRESENTS AFTER INGESTION OF 2.5MG OF LISINOPRIL AND 20MG OMEPRAZOLE TABLET FORM GRANDMOTHERS PILL BOX THIS AM. DX: INGESTION OF SUBSTANCE</t>
        </is>
      </c>
      <c r="W115" t="inlineStr">
        <is>
          <t>V</t>
        </is>
      </c>
      <c r="X115" t="inlineStr">
        <is>
          <t>40</t>
        </is>
      </c>
      <c r="Y115" t="inlineStr">
        <is>
          <t>18.4</t>
        </is>
      </c>
      <c r="Z115" t="n">
        <v>1</v>
      </c>
      <c r="AA115" t="n">
        <v>0</v>
      </c>
      <c r="AB115" t="inlineStr">
        <is>
          <t>Lisinopril and omeprazole are medications, not supplements.</t>
        </is>
      </c>
    </row>
    <row r="116">
      <c r="A116" t="inlineStr">
        <is>
          <t>201031263</t>
        </is>
      </c>
      <c r="B116" t="inlineStr">
        <is>
          <t>2020-10-13 00:00:00</t>
        </is>
      </c>
      <c r="C116" t="inlineStr">
        <is>
          <t>2</t>
        </is>
      </c>
      <c r="D116" t="inlineStr">
        <is>
          <t>1</t>
        </is>
      </c>
      <c r="E116" t="inlineStr">
        <is>
          <t>2</t>
        </is>
      </c>
      <c r="F116" t="inlineStr"/>
      <c r="G116" t="inlineStr">
        <is>
          <t>0</t>
        </is>
      </c>
      <c r="H116" t="inlineStr">
        <is>
          <t>85</t>
        </is>
      </c>
      <c r="I116" t="inlineStr">
        <is>
          <t>68</t>
        </is>
      </c>
      <c r="J116" t="inlineStr"/>
      <c r="K116" t="inlineStr"/>
      <c r="L116" t="inlineStr"/>
      <c r="M116" t="inlineStr"/>
      <c r="N116" t="inlineStr">
        <is>
          <t>1</t>
        </is>
      </c>
      <c r="O116" t="inlineStr">
        <is>
          <t>0</t>
        </is>
      </c>
      <c r="P116" t="inlineStr">
        <is>
          <t>0</t>
        </is>
      </c>
      <c r="Q116" t="inlineStr">
        <is>
          <t>949</t>
        </is>
      </c>
      <c r="R116" t="inlineStr">
        <is>
          <t>1135</t>
        </is>
      </c>
      <c r="S116" t="inlineStr">
        <is>
          <t>0</t>
        </is>
      </c>
      <c r="T116" t="inlineStr">
        <is>
          <t>0</t>
        </is>
      </c>
      <c r="U116" t="inlineStr">
        <is>
          <t>0</t>
        </is>
      </c>
      <c r="V116" t="inlineStr">
        <is>
          <t>2YOM BIB EMS APPROX 2 HRS AFTER INGESTION OF LAUNDRY DETERGENT PER MOM KEEPS LIQUID *** LAUNDRY DTEREGENT IN A *** BOTTLE PT INGESTED A SMALL AMT DX: MINIMAL INGESTION OF LAUNDRY DETERGENT</t>
        </is>
      </c>
      <c r="W116" t="inlineStr">
        <is>
          <t>L</t>
        </is>
      </c>
      <c r="X116" t="inlineStr">
        <is>
          <t>51</t>
        </is>
      </c>
      <c r="Y116" t="inlineStr">
        <is>
          <t>56.2517</t>
        </is>
      </c>
      <c r="Z116" t="n">
        <v>0</v>
      </c>
      <c r="AA116" t="n">
        <v>0</v>
      </c>
      <c r="AB116" t="inlineStr">
        <is>
          <t>Mentions 'laundry detergent' which is a chemical, not a supplement.</t>
        </is>
      </c>
    </row>
    <row r="117">
      <c r="A117" t="inlineStr">
        <is>
          <t>100626784</t>
        </is>
      </c>
      <c r="B117" t="inlineStr">
        <is>
          <t>2010-05-10 00:00:00</t>
        </is>
      </c>
      <c r="C117" t="inlineStr">
        <is>
          <t>3</t>
        </is>
      </c>
      <c r="D117" t="inlineStr">
        <is>
          <t>2</t>
        </is>
      </c>
      <c r="E117" t="inlineStr">
        <is>
          <t>3</t>
        </is>
      </c>
      <c r="F117" t="inlineStr">
        <is>
          <t>MULTI-RACIAL</t>
        </is>
      </c>
      <c r="G117" t="inlineStr"/>
      <c r="H117" t="inlineStr">
        <is>
          <t>85</t>
        </is>
      </c>
      <c r="I117" t="inlineStr">
        <is>
          <t>68</t>
        </is>
      </c>
      <c r="J117" t="inlineStr"/>
      <c r="K117" t="inlineStr"/>
      <c r="L117" t="inlineStr"/>
      <c r="M117" t="inlineStr"/>
      <c r="N117" t="inlineStr">
        <is>
          <t>5</t>
        </is>
      </c>
      <c r="O117" t="inlineStr">
        <is>
          <t>1</t>
        </is>
      </c>
      <c r="P117" t="inlineStr">
        <is>
          <t>0</t>
        </is>
      </c>
      <c r="Q117" t="inlineStr">
        <is>
          <t>1931</t>
        </is>
      </c>
      <c r="R117" t="inlineStr">
        <is>
          <t>1107</t>
        </is>
      </c>
      <c r="S117" t="inlineStr">
        <is>
          <t>0</t>
        </is>
      </c>
      <c r="T117" t="inlineStr"/>
      <c r="U117" t="inlineStr"/>
      <c r="V117" t="inlineStr">
        <is>
          <t>3YOF FOUND WITH GRANDMA'S PILLS, WET/PARTIALLY DISOLVED *** IN MOUTH, IN DAILY DIVIDER CONTAINER; INGESTION</t>
        </is>
      </c>
      <c r="W117" t="inlineStr">
        <is>
          <t>C</t>
        </is>
      </c>
      <c r="X117" t="inlineStr">
        <is>
          <t>8</t>
        </is>
      </c>
      <c r="Y117" t="inlineStr">
        <is>
          <t>5.3312</t>
        </is>
      </c>
      <c r="Z117" t="n">
        <v>1</v>
      </c>
      <c r="AA117" t="n">
        <v>0</v>
      </c>
      <c r="AB117" t="inlineStr">
        <is>
          <t>No explicit mention of a vitamin or supplement, and 'pills' could refer to medication.</t>
        </is>
      </c>
    </row>
    <row r="118">
      <c r="A118" t="inlineStr">
        <is>
          <t>171147127</t>
        </is>
      </c>
      <c r="B118" t="inlineStr">
        <is>
          <t>2017-11-05 00:00:00</t>
        </is>
      </c>
      <c r="C118" t="inlineStr">
        <is>
          <t>217</t>
        </is>
      </c>
      <c r="D118" t="inlineStr">
        <is>
          <t>2</t>
        </is>
      </c>
      <c r="E118" t="inlineStr">
        <is>
          <t>0</t>
        </is>
      </c>
      <c r="F118" t="inlineStr"/>
      <c r="G118" t="inlineStr"/>
      <c r="H118" t="inlineStr">
        <is>
          <t>85</t>
        </is>
      </c>
      <c r="I118" t="inlineStr">
        <is>
          <t>68</t>
        </is>
      </c>
      <c r="J118" t="inlineStr"/>
      <c r="K118" t="inlineStr"/>
      <c r="L118" t="inlineStr"/>
      <c r="M118" t="inlineStr"/>
      <c r="N118" t="inlineStr">
        <is>
          <t>1</t>
        </is>
      </c>
      <c r="O118" t="inlineStr">
        <is>
          <t>1</t>
        </is>
      </c>
      <c r="P118" t="inlineStr">
        <is>
          <t>0</t>
        </is>
      </c>
      <c r="Q118" t="inlineStr">
        <is>
          <t>1928</t>
        </is>
      </c>
      <c r="R118" t="inlineStr">
        <is>
          <t>1135</t>
        </is>
      </c>
      <c r="S118" t="inlineStr">
        <is>
          <t>0</t>
        </is>
      </c>
      <c r="T118" t="inlineStr"/>
      <c r="U118" t="inlineStr"/>
      <c r="V118" t="inlineStr">
        <is>
          <t>17MOF DRANK 1/2 BOTTLE *** 4KIDS COLD AND COUGH SYRUP, 4 OZ BOTTLE;INGESTION</t>
        </is>
      </c>
      <c r="W118" t="inlineStr">
        <is>
          <t>C</t>
        </is>
      </c>
      <c r="X118" t="inlineStr">
        <is>
          <t>8</t>
        </is>
      </c>
      <c r="Y118" t="inlineStr">
        <is>
          <t>4.757</t>
        </is>
      </c>
      <c r="Z118" t="n">
        <v>0</v>
      </c>
      <c r="AA118" t="n">
        <v>0</v>
      </c>
      <c r="AB118" t="inlineStr">
        <is>
          <t>Cough syrup is medication, not a supplement.</t>
        </is>
      </c>
    </row>
    <row r="119">
      <c r="A119" t="inlineStr">
        <is>
          <t>231074883</t>
        </is>
      </c>
      <c r="B119" t="inlineStr">
        <is>
          <t>2023-10-23 00:00:00</t>
        </is>
      </c>
      <c r="C119" t="inlineStr">
        <is>
          <t>85</t>
        </is>
      </c>
      <c r="D119" t="inlineStr">
        <is>
          <t>1</t>
        </is>
      </c>
      <c r="E119" t="inlineStr">
        <is>
          <t>2</t>
        </is>
      </c>
      <c r="F119" t="inlineStr"/>
      <c r="G119" t="inlineStr">
        <is>
          <t>2</t>
        </is>
      </c>
      <c r="H119" t="inlineStr">
        <is>
          <t>85</t>
        </is>
      </c>
      <c r="I119" t="inlineStr">
        <is>
          <t>68</t>
        </is>
      </c>
      <c r="J119" t="inlineStr"/>
      <c r="K119" t="inlineStr">
        <is>
          <t>31</t>
        </is>
      </c>
      <c r="L119" t="inlineStr">
        <is>
          <t>71</t>
        </is>
      </c>
      <c r="M119" t="inlineStr">
        <is>
          <t>NO INJURY</t>
        </is>
      </c>
      <c r="N119" t="inlineStr">
        <is>
          <t>4</t>
        </is>
      </c>
      <c r="O119" t="inlineStr">
        <is>
          <t>1</t>
        </is>
      </c>
      <c r="P119" t="inlineStr">
        <is>
          <t>0</t>
        </is>
      </c>
      <c r="Q119" t="inlineStr">
        <is>
          <t>4076</t>
        </is>
      </c>
      <c r="R119" t="inlineStr">
        <is>
          <t>0</t>
        </is>
      </c>
      <c r="S119" t="inlineStr">
        <is>
          <t>0</t>
        </is>
      </c>
      <c r="T119" t="inlineStr">
        <is>
          <t>0</t>
        </is>
      </c>
      <c r="U119" t="inlineStr">
        <is>
          <t>1</t>
        </is>
      </c>
      <c r="V119" t="inlineStr">
        <is>
          <t>85 YOM AFTER A FALL TONIGHT. PATIENT'S RHEUMATOID ARTHRITIS HAS BEEN ACTING UP AND HE HAS HAD A LOT OF PAIN FOR THE LAST 4 DAYS. PATIENT FELL OUT OF HIS BED ONTO HIS BACK. DX FALL, SYMPTOMATIC ANEMIA, GI HEMORRHAGE, ANTICOAGULANT LONG TERM USE</t>
        </is>
      </c>
      <c r="W119" t="inlineStr">
        <is>
          <t>L</t>
        </is>
      </c>
      <c r="X119" t="inlineStr">
        <is>
          <t>50</t>
        </is>
      </c>
      <c r="Y119" t="inlineStr">
        <is>
          <t>55.4417</t>
        </is>
      </c>
      <c r="Z119" t="n">
        <v>0</v>
      </c>
      <c r="AA119" t="n">
        <v>0</v>
      </c>
      <c r="AB119" t="inlineStr">
        <is>
          <t>No mention of vitamins or supplements; narrative focuses on fall and medical conditions.</t>
        </is>
      </c>
    </row>
    <row r="120">
      <c r="A120" t="inlineStr">
        <is>
          <t>80126904</t>
        </is>
      </c>
      <c r="B120" t="inlineStr">
        <is>
          <t>2007-12-16 00:00:00</t>
        </is>
      </c>
      <c r="C120" t="inlineStr">
        <is>
          <t>2</t>
        </is>
      </c>
      <c r="D120" t="inlineStr">
        <is>
          <t>1</t>
        </is>
      </c>
      <c r="E120" t="inlineStr">
        <is>
          <t>0</t>
        </is>
      </c>
      <c r="F120" t="inlineStr"/>
      <c r="G120" t="inlineStr"/>
      <c r="H120" t="inlineStr">
        <is>
          <t>85</t>
        </is>
      </c>
      <c r="I120" t="inlineStr">
        <is>
          <t>68</t>
        </is>
      </c>
      <c r="J120" t="inlineStr"/>
      <c r="K120" t="inlineStr"/>
      <c r="L120" t="inlineStr"/>
      <c r="M120" t="inlineStr"/>
      <c r="N120" t="inlineStr">
        <is>
          <t>4</t>
        </is>
      </c>
      <c r="O120" t="inlineStr">
        <is>
          <t>1</t>
        </is>
      </c>
      <c r="P120" t="inlineStr">
        <is>
          <t>0</t>
        </is>
      </c>
      <c r="Q120" t="inlineStr">
        <is>
          <t>1931</t>
        </is>
      </c>
      <c r="R120" t="inlineStr">
        <is>
          <t>0</t>
        </is>
      </c>
      <c r="S120" t="inlineStr">
        <is>
          <t>0</t>
        </is>
      </c>
      <c r="T120" t="inlineStr"/>
      <c r="U120" t="inlineStr"/>
      <c r="V120" t="inlineStr">
        <is>
          <t>INGESTED *** . I PILL MISSING, 1 REMOVED FROM MOUTH</t>
        </is>
      </c>
      <c r="W120" t="inlineStr">
        <is>
          <t>C</t>
        </is>
      </c>
      <c r="X120" t="inlineStr">
        <is>
          <t>20</t>
        </is>
      </c>
      <c r="Y120" t="inlineStr">
        <is>
          <t>6.241</t>
        </is>
      </c>
      <c r="Z120" t="n">
        <v>1</v>
      </c>
      <c r="AA120" t="n">
        <v>0</v>
      </c>
      <c r="AB120" t="inlineStr">
        <is>
          <t>No explicit mention of vitamin or dietary supplement; cannot determine if ingestion was related to a supplement.</t>
        </is>
      </c>
    </row>
    <row r="121">
      <c r="A121" t="inlineStr">
        <is>
          <t>50743872</t>
        </is>
      </c>
      <c r="B121" t="inlineStr">
        <is>
          <t>2005-06-14 00:00:00</t>
        </is>
      </c>
      <c r="C121" t="inlineStr">
        <is>
          <t>210</t>
        </is>
      </c>
      <c r="D121" t="inlineStr">
        <is>
          <t>2</t>
        </is>
      </c>
      <c r="E121" t="inlineStr">
        <is>
          <t>2</t>
        </is>
      </c>
      <c r="F121" t="inlineStr"/>
      <c r="G121" t="inlineStr"/>
      <c r="H121" t="inlineStr">
        <is>
          <t>85</t>
        </is>
      </c>
      <c r="I121" t="inlineStr">
        <is>
          <t>68</t>
        </is>
      </c>
      <c r="J121" t="inlineStr"/>
      <c r="K121" t="inlineStr"/>
      <c r="L121" t="inlineStr"/>
      <c r="M121" t="inlineStr"/>
      <c r="N121" t="inlineStr">
        <is>
          <t>1</t>
        </is>
      </c>
      <c r="O121" t="inlineStr">
        <is>
          <t>1</t>
        </is>
      </c>
      <c r="P121" t="inlineStr">
        <is>
          <t>0</t>
        </is>
      </c>
      <c r="Q121" t="inlineStr">
        <is>
          <t>5004</t>
        </is>
      </c>
      <c r="R121" t="inlineStr">
        <is>
          <t>0</t>
        </is>
      </c>
      <c r="S121" t="inlineStr">
        <is>
          <t>0</t>
        </is>
      </c>
      <c r="T121" t="inlineStr"/>
      <c r="U121" t="inlineStr"/>
      <c r="V121" t="inlineStr">
        <is>
          <t>PT INGESTED LIQUID FROM A *** VOMITED X 1</t>
        </is>
      </c>
      <c r="W121" t="inlineStr">
        <is>
          <t>C</t>
        </is>
      </c>
      <c r="X121" t="inlineStr">
        <is>
          <t>31</t>
        </is>
      </c>
      <c r="Y121" t="inlineStr">
        <is>
          <t>5.8147</t>
        </is>
      </c>
      <c r="Z121" t="n">
        <v>0</v>
      </c>
      <c r="AA121" t="n">
        <v>0</v>
      </c>
      <c r="AB121" t="inlineStr">
        <is>
          <t>No explicit mention of vitamin or dietary supplement; ingestion alone does not imply label=1</t>
        </is>
      </c>
    </row>
    <row r="122">
      <c r="A122" t="inlineStr">
        <is>
          <t>70112013</t>
        </is>
      </c>
      <c r="B122" t="inlineStr">
        <is>
          <t>2007-01-01 00:00:00</t>
        </is>
      </c>
      <c r="C122" t="inlineStr">
        <is>
          <t>20</t>
        </is>
      </c>
      <c r="D122" t="inlineStr">
        <is>
          <t>1</t>
        </is>
      </c>
      <c r="E122" t="inlineStr">
        <is>
          <t>2</t>
        </is>
      </c>
      <c r="F122" t="inlineStr"/>
      <c r="G122" t="inlineStr"/>
      <c r="H122" t="inlineStr">
        <is>
          <t>85</t>
        </is>
      </c>
      <c r="I122" t="inlineStr">
        <is>
          <t>68</t>
        </is>
      </c>
      <c r="J122" t="inlineStr"/>
      <c r="K122" t="inlineStr"/>
      <c r="L122" t="inlineStr"/>
      <c r="M122" t="inlineStr"/>
      <c r="N122" t="inlineStr">
        <is>
          <t>1</t>
        </is>
      </c>
      <c r="O122" t="inlineStr">
        <is>
          <t>0</t>
        </is>
      </c>
      <c r="P122" t="inlineStr">
        <is>
          <t>0</t>
        </is>
      </c>
      <c r="Q122" t="inlineStr">
        <is>
          <t>1817</t>
        </is>
      </c>
      <c r="R122" t="inlineStr">
        <is>
          <t>0</t>
        </is>
      </c>
      <c r="S122" t="inlineStr">
        <is>
          <t>0</t>
        </is>
      </c>
      <c r="T122" t="inlineStr"/>
      <c r="U122" t="inlineStr"/>
      <c r="V122" t="inlineStr">
        <is>
          <t>PT JUMPED FROM A BALCONY ABOUT 15-20 FEET WAS RUNNING FROM POLICE. + ETOH</t>
        </is>
      </c>
      <c r="W122" t="inlineStr">
        <is>
          <t>V</t>
        </is>
      </c>
      <c r="X122" t="inlineStr">
        <is>
          <t>23</t>
        </is>
      </c>
      <c r="Y122" t="inlineStr">
        <is>
          <t>15.1766</t>
        </is>
      </c>
      <c r="Z122" t="n">
        <v>0</v>
      </c>
      <c r="AA122" t="n">
        <v>0</v>
      </c>
      <c r="AB122" t="inlineStr">
        <is>
          <t>No mention of vitamins or supplements; narrative is about police chase and injury from fall.</t>
        </is>
      </c>
    </row>
    <row r="123">
      <c r="A123" t="inlineStr">
        <is>
          <t>150247160</t>
        </is>
      </c>
      <c r="B123" t="inlineStr">
        <is>
          <t>2015-02-13 00:00:00</t>
        </is>
      </c>
      <c r="C123" t="inlineStr">
        <is>
          <t>2</t>
        </is>
      </c>
      <c r="D123" t="inlineStr">
        <is>
          <t>1</t>
        </is>
      </c>
      <c r="E123" t="inlineStr">
        <is>
          <t>1</t>
        </is>
      </c>
      <c r="F123" t="inlineStr"/>
      <c r="G123" t="inlineStr"/>
      <c r="H123" t="inlineStr">
        <is>
          <t>85</t>
        </is>
      </c>
      <c r="I123" t="inlineStr">
        <is>
          <t>68</t>
        </is>
      </c>
      <c r="J123" t="inlineStr"/>
      <c r="K123" t="inlineStr"/>
      <c r="L123" t="inlineStr"/>
      <c r="M123" t="inlineStr"/>
      <c r="N123" t="inlineStr">
        <is>
          <t>1</t>
        </is>
      </c>
      <c r="O123" t="inlineStr">
        <is>
          <t>1</t>
        </is>
      </c>
      <c r="P123" t="inlineStr">
        <is>
          <t>0</t>
        </is>
      </c>
      <c r="Q123" t="inlineStr">
        <is>
          <t>1932</t>
        </is>
      </c>
      <c r="R123" t="inlineStr">
        <is>
          <t>0</t>
        </is>
      </c>
      <c r="S123" t="inlineStr">
        <is>
          <t>0</t>
        </is>
      </c>
      <c r="T123" t="inlineStr"/>
      <c r="U123" t="inlineStr"/>
      <c r="V123" t="inlineStr">
        <is>
          <t>PT DRANK 3-4 CC OF 12MG OF LIQUID BLEND THAT GOES IN E CIGARETTES. INGESTION FOREIGN SUBSTANCE 2YOM</t>
        </is>
      </c>
      <c r="W123" t="inlineStr">
        <is>
          <t>V</t>
        </is>
      </c>
      <c r="X123" t="inlineStr">
        <is>
          <t>22</t>
        </is>
      </c>
      <c r="Y123" t="inlineStr">
        <is>
          <t>15.7762</t>
        </is>
      </c>
      <c r="Z123" t="n">
        <v>1</v>
      </c>
      <c r="AA123" t="n">
        <v>0</v>
      </c>
      <c r="AB123" t="inlineStr">
        <is>
          <t>Ingestion of 'liquid blend' without specifying supplement or vitamin content, and presence of 'foreign substance' implies it's not a known supplement.</t>
        </is>
      </c>
    </row>
    <row r="124">
      <c r="A124" t="inlineStr">
        <is>
          <t>61209646</t>
        </is>
      </c>
      <c r="B124" t="inlineStr">
        <is>
          <t>2006-12-02 00:00:00</t>
        </is>
      </c>
      <c r="C124" t="inlineStr">
        <is>
          <t>211</t>
        </is>
      </c>
      <c r="D124" t="inlineStr">
        <is>
          <t>2</t>
        </is>
      </c>
      <c r="E124" t="inlineStr">
        <is>
          <t>3</t>
        </is>
      </c>
      <c r="F124" t="inlineStr">
        <is>
          <t>HISPANIC</t>
        </is>
      </c>
      <c r="G124" t="inlineStr"/>
      <c r="H124" t="inlineStr">
        <is>
          <t>85</t>
        </is>
      </c>
      <c r="I124" t="inlineStr">
        <is>
          <t>68</t>
        </is>
      </c>
      <c r="J124" t="inlineStr"/>
      <c r="K124" t="inlineStr"/>
      <c r="L124" t="inlineStr"/>
      <c r="M124" t="inlineStr"/>
      <c r="N124" t="inlineStr">
        <is>
          <t>1</t>
        </is>
      </c>
      <c r="O124" t="inlineStr">
        <is>
          <t>0</t>
        </is>
      </c>
      <c r="P124" t="inlineStr">
        <is>
          <t>0</t>
        </is>
      </c>
      <c r="Q124" t="inlineStr">
        <is>
          <t>1931</t>
        </is>
      </c>
      <c r="R124" t="inlineStr">
        <is>
          <t>0</t>
        </is>
      </c>
      <c r="S124" t="inlineStr">
        <is>
          <t>0</t>
        </is>
      </c>
      <c r="T124" t="inlineStr"/>
      <c r="U124" t="inlineStr"/>
      <c r="V124" t="inlineStr">
        <is>
          <t>PT WAS FOUND WITH *** BRAND ANTIBIOTIC PILLS IN HER MOUTH, MOM TOOK3 PILLS OUT OF PT'S MOUTH, BUT STILL ONE MISSING. DX: INGESTION</t>
        </is>
      </c>
      <c r="W124" t="inlineStr">
        <is>
          <t>C</t>
        </is>
      </c>
      <c r="X124" t="inlineStr">
        <is>
          <t>90</t>
        </is>
      </c>
      <c r="Y124" t="inlineStr">
        <is>
          <t>5.3759</t>
        </is>
      </c>
      <c r="Z124" t="n">
        <v>1</v>
      </c>
      <c r="AA124" t="n">
        <v>0</v>
      </c>
      <c r="AB124" t="inlineStr">
        <is>
          <t>Mentions 'antibiotic pills' which are medication, not a supplement.</t>
        </is>
      </c>
    </row>
    <row r="125">
      <c r="A125" t="inlineStr">
        <is>
          <t>100853091</t>
        </is>
      </c>
      <c r="B125" t="inlineStr">
        <is>
          <t>2010-08-16 00:00:00</t>
        </is>
      </c>
      <c r="C125" t="inlineStr">
        <is>
          <t>220</t>
        </is>
      </c>
      <c r="D125" t="inlineStr">
        <is>
          <t>1</t>
        </is>
      </c>
      <c r="E125" t="inlineStr">
        <is>
          <t>3</t>
        </is>
      </c>
      <c r="F125" t="inlineStr">
        <is>
          <t>HISPANIC</t>
        </is>
      </c>
      <c r="G125" t="inlineStr"/>
      <c r="H125" t="inlineStr">
        <is>
          <t>85</t>
        </is>
      </c>
      <c r="I125" t="inlineStr">
        <is>
          <t>68</t>
        </is>
      </c>
      <c r="J125" t="inlineStr"/>
      <c r="K125" t="inlineStr"/>
      <c r="L125" t="inlineStr"/>
      <c r="M125" t="inlineStr"/>
      <c r="N125" t="inlineStr">
        <is>
          <t>2</t>
        </is>
      </c>
      <c r="O125" t="inlineStr">
        <is>
          <t>1</t>
        </is>
      </c>
      <c r="P125" t="inlineStr">
        <is>
          <t>0</t>
        </is>
      </c>
      <c r="Q125" t="inlineStr">
        <is>
          <t>1931</t>
        </is>
      </c>
      <c r="R125" t="inlineStr">
        <is>
          <t>1647</t>
        </is>
      </c>
      <c r="S125" t="inlineStr">
        <is>
          <t>0</t>
        </is>
      </c>
      <c r="T125" t="inlineStr"/>
      <c r="U125" t="inlineStr"/>
      <c r="V125" t="inlineStr">
        <is>
          <t>20 M/O/M PILL FELL OUT OF MOMS POCKETBOOK AND CHILD MAY HAVE TAKEN IT ACTING SLEEPY PT TRANSF TO *** DX/ DRUG OVERDOSE</t>
        </is>
      </c>
      <c r="W125" t="inlineStr">
        <is>
          <t>L</t>
        </is>
      </c>
      <c r="X125" t="inlineStr">
        <is>
          <t>42</t>
        </is>
      </c>
      <c r="Y125" t="inlineStr">
        <is>
          <t>63.8205</t>
        </is>
      </c>
      <c r="Z125" t="n">
        <v>1</v>
      </c>
      <c r="AA125" t="n">
        <v>0</v>
      </c>
      <c r="AB125" t="inlineStr">
        <is>
          <t>Mentions 'drug overdose' which implies medication, not a supplement.</t>
        </is>
      </c>
    </row>
    <row r="126">
      <c r="A126" t="inlineStr">
        <is>
          <t>151253673</t>
        </is>
      </c>
      <c r="B126" t="inlineStr">
        <is>
          <t>2015-11-20 00:00:00</t>
        </is>
      </c>
      <c r="C126" t="inlineStr">
        <is>
          <t>2</t>
        </is>
      </c>
      <c r="D126" t="inlineStr">
        <is>
          <t>2</t>
        </is>
      </c>
      <c r="E126" t="inlineStr">
        <is>
          <t>0</t>
        </is>
      </c>
      <c r="F126" t="inlineStr"/>
      <c r="G126" t="inlineStr"/>
      <c r="H126" t="inlineStr">
        <is>
          <t>85</t>
        </is>
      </c>
      <c r="I126" t="inlineStr">
        <is>
          <t>68</t>
        </is>
      </c>
      <c r="J126" t="inlineStr"/>
      <c r="K126" t="inlineStr"/>
      <c r="L126" t="inlineStr"/>
      <c r="M126" t="inlineStr"/>
      <c r="N126" t="inlineStr">
        <is>
          <t>1</t>
        </is>
      </c>
      <c r="O126" t="inlineStr">
        <is>
          <t>0</t>
        </is>
      </c>
      <c r="P126" t="inlineStr">
        <is>
          <t>0</t>
        </is>
      </c>
      <c r="Q126" t="inlineStr">
        <is>
          <t>1913</t>
        </is>
      </c>
      <c r="R126" t="inlineStr">
        <is>
          <t>0</t>
        </is>
      </c>
      <c r="S126" t="inlineStr">
        <is>
          <t>0</t>
        </is>
      </c>
      <c r="T126" t="inlineStr"/>
      <c r="U126" t="inlineStr"/>
      <c r="V126" t="inlineStr">
        <is>
          <t>2YOF BROUGHT INTO ER FOR INGESTION OF PERFUME (***) WHEN SHEWAS FOUND WPERFUME ON FACE. DX INGESTION OF PERFUME*</t>
        </is>
      </c>
      <c r="W126" t="inlineStr">
        <is>
          <t>V</t>
        </is>
      </c>
      <c r="X126" t="inlineStr">
        <is>
          <t>77</t>
        </is>
      </c>
      <c r="Y126" t="inlineStr">
        <is>
          <t>16.565</t>
        </is>
      </c>
      <c r="Z126" t="n">
        <v>0</v>
      </c>
      <c r="AA126" t="n">
        <v>0</v>
      </c>
      <c r="AB126" t="inlineStr">
        <is>
          <t>Perfume is a household chemical, not a supplement.</t>
        </is>
      </c>
    </row>
    <row r="127">
      <c r="A127" t="inlineStr">
        <is>
          <t>71152417</t>
        </is>
      </c>
      <c r="B127" t="inlineStr">
        <is>
          <t>2007-10-26 00:00:00</t>
        </is>
      </c>
      <c r="C127" t="inlineStr">
        <is>
          <t>214</t>
        </is>
      </c>
      <c r="D127" t="inlineStr">
        <is>
          <t>1</t>
        </is>
      </c>
      <c r="E127" t="inlineStr">
        <is>
          <t>1</t>
        </is>
      </c>
      <c r="F127" t="inlineStr"/>
      <c r="G127" t="inlineStr"/>
      <c r="H127" t="inlineStr">
        <is>
          <t>85</t>
        </is>
      </c>
      <c r="I127" t="inlineStr">
        <is>
          <t>68</t>
        </is>
      </c>
      <c r="J127" t="inlineStr"/>
      <c r="K127" t="inlineStr"/>
      <c r="L127" t="inlineStr"/>
      <c r="M127" t="inlineStr"/>
      <c r="N127" t="inlineStr">
        <is>
          <t>1</t>
        </is>
      </c>
      <c r="O127" t="inlineStr">
        <is>
          <t>1</t>
        </is>
      </c>
      <c r="P127" t="inlineStr">
        <is>
          <t>0</t>
        </is>
      </c>
      <c r="Q127" t="inlineStr">
        <is>
          <t>977</t>
        </is>
      </c>
      <c r="R127" t="inlineStr">
        <is>
          <t>0</t>
        </is>
      </c>
      <c r="S127" t="inlineStr">
        <is>
          <t>0</t>
        </is>
      </c>
      <c r="T127" t="inlineStr"/>
      <c r="U127" t="inlineStr"/>
      <c r="V127" t="inlineStr">
        <is>
          <t>INGESTED CLEANING FLUID, "***", LICKED IT OFF OF HANDDX; ACCIDENTAL INGESTION</t>
        </is>
      </c>
      <c r="W127" t="inlineStr">
        <is>
          <t>V</t>
        </is>
      </c>
      <c r="X127" t="inlineStr">
        <is>
          <t>33</t>
        </is>
      </c>
      <c r="Y127" t="inlineStr">
        <is>
          <t>15.8664</t>
        </is>
      </c>
      <c r="Z127" t="n">
        <v>0</v>
      </c>
      <c r="AA127" t="n">
        <v>0</v>
      </c>
      <c r="AB127" t="inlineStr">
        <is>
          <t>Mentions 'cleaning fluid' which is a household chemical, not a supplement.</t>
        </is>
      </c>
    </row>
    <row r="128">
      <c r="A128" t="inlineStr">
        <is>
          <t>100743694</t>
        </is>
      </c>
      <c r="B128" t="inlineStr">
        <is>
          <t>2010-07-08 00:00:00</t>
        </is>
      </c>
      <c r="C128" t="inlineStr">
        <is>
          <t>221</t>
        </is>
      </c>
      <c r="D128" t="inlineStr">
        <is>
          <t>1</t>
        </is>
      </c>
      <c r="E128" t="inlineStr">
        <is>
          <t>0</t>
        </is>
      </c>
      <c r="F128" t="inlineStr"/>
      <c r="G128" t="inlineStr"/>
      <c r="H128" t="inlineStr">
        <is>
          <t>85</t>
        </is>
      </c>
      <c r="I128" t="inlineStr">
        <is>
          <t>68</t>
        </is>
      </c>
      <c r="J128" t="inlineStr"/>
      <c r="K128" t="inlineStr"/>
      <c r="L128" t="inlineStr"/>
      <c r="M128" t="inlineStr"/>
      <c r="N128" t="inlineStr">
        <is>
          <t>1</t>
        </is>
      </c>
      <c r="O128" t="inlineStr">
        <is>
          <t>1</t>
        </is>
      </c>
      <c r="P128" t="inlineStr">
        <is>
          <t>0</t>
        </is>
      </c>
      <c r="Q128" t="inlineStr">
        <is>
          <t>1932</t>
        </is>
      </c>
      <c r="R128" t="inlineStr">
        <is>
          <t>0</t>
        </is>
      </c>
      <c r="S128" t="inlineStr">
        <is>
          <t>0</t>
        </is>
      </c>
      <c r="T128" t="inlineStr"/>
      <c r="U128" t="inlineStr"/>
      <c r="V128" t="inlineStr">
        <is>
          <t>21MOM SWALLOWED SOME HAND SANITIZER AT HOME POISONING</t>
        </is>
      </c>
      <c r="W128" t="inlineStr">
        <is>
          <t>S</t>
        </is>
      </c>
      <c r="X128" t="inlineStr">
        <is>
          <t>73</t>
        </is>
      </c>
      <c r="Y128" t="inlineStr">
        <is>
          <t>70.275</t>
        </is>
      </c>
      <c r="Z128" t="n">
        <v>1</v>
      </c>
      <c r="AA128" t="n">
        <v>0</v>
      </c>
      <c r="AB128" t="inlineStr">
        <is>
          <t>Hand sanitizer is a household chemical/toxin, not a supplement.</t>
        </is>
      </c>
    </row>
    <row r="129">
      <c r="A129" t="inlineStr">
        <is>
          <t>50532928</t>
        </is>
      </c>
      <c r="B129" t="inlineStr">
        <is>
          <t>2005-05-14 00:00:00</t>
        </is>
      </c>
      <c r="C129" t="inlineStr">
        <is>
          <t>221</t>
        </is>
      </c>
      <c r="D129" t="inlineStr">
        <is>
          <t>1</t>
        </is>
      </c>
      <c r="E129" t="inlineStr">
        <is>
          <t>1</t>
        </is>
      </c>
      <c r="F129" t="inlineStr"/>
      <c r="G129" t="inlineStr"/>
      <c r="H129" t="inlineStr">
        <is>
          <t>85</t>
        </is>
      </c>
      <c r="I129" t="inlineStr">
        <is>
          <t>68</t>
        </is>
      </c>
      <c r="J129" t="inlineStr"/>
      <c r="K129" t="inlineStr"/>
      <c r="L129" t="inlineStr"/>
      <c r="M129" t="inlineStr"/>
      <c r="N129" t="inlineStr">
        <is>
          <t>4</t>
        </is>
      </c>
      <c r="O129" t="inlineStr">
        <is>
          <t>1</t>
        </is>
      </c>
      <c r="P129" t="inlineStr">
        <is>
          <t>0</t>
        </is>
      </c>
      <c r="Q129" t="inlineStr">
        <is>
          <t>1931</t>
        </is>
      </c>
      <c r="R129" t="inlineStr">
        <is>
          <t>0</t>
        </is>
      </c>
      <c r="S129" t="inlineStr">
        <is>
          <t>0</t>
        </is>
      </c>
      <c r="T129" t="inlineStr"/>
      <c r="U129" t="inlineStr"/>
      <c r="V129" t="inlineStr">
        <is>
          <t>WAS FOUND WITH GRANDFATHERS PILL BOX, UNSURE IF OR HOW MANY TAKEN,FOUND 2 PILLS IN MOUTH, DX; POSSIBLE INGESTION OF MULTIPLE MEDS.</t>
        </is>
      </c>
      <c r="W129" t="inlineStr">
        <is>
          <t>S</t>
        </is>
      </c>
      <c r="X129" t="inlineStr">
        <is>
          <t>92</t>
        </is>
      </c>
      <c r="Y129" t="inlineStr">
        <is>
          <t>66.7382</t>
        </is>
      </c>
      <c r="Z129" t="n">
        <v>1</v>
      </c>
      <c r="AA129" t="n">
        <v>0</v>
      </c>
      <c r="AB129" t="inlineStr">
        <is>
          <t>Mentions 'multiple meds' which implies prescription medication, not a supplement.</t>
        </is>
      </c>
    </row>
    <row r="130">
      <c r="A130" t="inlineStr">
        <is>
          <t>80130731</t>
        </is>
      </c>
      <c r="B130" t="inlineStr">
        <is>
          <t>2008-01-14 00:00:00</t>
        </is>
      </c>
      <c r="C130" t="inlineStr">
        <is>
          <t>64</t>
        </is>
      </c>
      <c r="D130" t="inlineStr">
        <is>
          <t>2</t>
        </is>
      </c>
      <c r="E130" t="inlineStr">
        <is>
          <t>0</t>
        </is>
      </c>
      <c r="F130" t="inlineStr"/>
      <c r="G130" t="inlineStr"/>
      <c r="H130" t="inlineStr">
        <is>
          <t>85</t>
        </is>
      </c>
      <c r="I130" t="inlineStr">
        <is>
          <t>68</t>
        </is>
      </c>
      <c r="J130" t="inlineStr"/>
      <c r="K130" t="inlineStr"/>
      <c r="L130" t="inlineStr"/>
      <c r="M130" t="inlineStr"/>
      <c r="N130" t="inlineStr">
        <is>
          <t>4</t>
        </is>
      </c>
      <c r="O130" t="inlineStr">
        <is>
          <t>1</t>
        </is>
      </c>
      <c r="P130" t="inlineStr">
        <is>
          <t>0</t>
        </is>
      </c>
      <c r="Q130" t="inlineStr">
        <is>
          <t>953</t>
        </is>
      </c>
      <c r="R130" t="inlineStr">
        <is>
          <t>956</t>
        </is>
      </c>
      <c r="S130" t="inlineStr">
        <is>
          <t>0</t>
        </is>
      </c>
      <c r="T130" t="inlineStr"/>
      <c r="U130" t="inlineStr"/>
      <c r="V130" t="inlineStr">
        <is>
          <t>AT HOME PT CLEANING WITH *** &amp; ***,DEVELOPED CHEST PAIN RADIATES TO L ARM,DX CHEST PAIN R/O MI,HYPERCHOLOSTEROLEMIA</t>
        </is>
      </c>
      <c r="W130" t="inlineStr">
        <is>
          <t>V</t>
        </is>
      </c>
      <c r="X130" t="inlineStr">
        <is>
          <t>91</t>
        </is>
      </c>
      <c r="Y130" t="inlineStr">
        <is>
          <t>14.8152</t>
        </is>
      </c>
      <c r="Z130" t="n">
        <v>0</v>
      </c>
      <c r="AA130" t="n">
        <v>0</v>
      </c>
      <c r="AB130" t="inlineStr">
        <is>
          <t>No mention of vitamins or supplements; chest pain diagnosis and hypercholesterolemia are unrelated to vitamin/supplement ingestion.</t>
        </is>
      </c>
    </row>
    <row r="131">
      <c r="A131" t="inlineStr">
        <is>
          <t>61153744</t>
        </is>
      </c>
      <c r="B131" t="inlineStr">
        <is>
          <t>2006-11-22 00:00:00</t>
        </is>
      </c>
      <c r="C131" t="inlineStr">
        <is>
          <t>210</t>
        </is>
      </c>
      <c r="D131" t="inlineStr">
        <is>
          <t>2</t>
        </is>
      </c>
      <c r="E131" t="inlineStr">
        <is>
          <t>0</t>
        </is>
      </c>
      <c r="F131" t="inlineStr"/>
      <c r="G131" t="inlineStr"/>
      <c r="H131" t="inlineStr">
        <is>
          <t>85</t>
        </is>
      </c>
      <c r="I131" t="inlineStr">
        <is>
          <t>68</t>
        </is>
      </c>
      <c r="J131" t="inlineStr"/>
      <c r="K131" t="inlineStr"/>
      <c r="L131" t="inlineStr"/>
      <c r="M131" t="inlineStr"/>
      <c r="N131" t="inlineStr">
        <is>
          <t>1</t>
        </is>
      </c>
      <c r="O131" t="inlineStr">
        <is>
          <t>1</t>
        </is>
      </c>
      <c r="P131" t="inlineStr">
        <is>
          <t>0</t>
        </is>
      </c>
      <c r="Q131" t="inlineStr">
        <is>
          <t>954</t>
        </is>
      </c>
      <c r="R131" t="inlineStr">
        <is>
          <t>0</t>
        </is>
      </c>
      <c r="S131" t="inlineStr">
        <is>
          <t>0</t>
        </is>
      </c>
      <c r="T131" t="inlineStr"/>
      <c r="U131" t="inlineStr"/>
      <c r="V131" t="inlineStr">
        <is>
          <t>10MO OLD DRANK *** CLEANER INGESTION-INADVERTANT ACCIDENTAL</t>
        </is>
      </c>
      <c r="W131" t="inlineStr">
        <is>
          <t>V</t>
        </is>
      </c>
      <c r="X131" t="inlineStr">
        <is>
          <t>17</t>
        </is>
      </c>
      <c r="Y131" t="inlineStr">
        <is>
          <t>14.8249</t>
        </is>
      </c>
      <c r="Z131" t="n">
        <v>0</v>
      </c>
      <c r="AA131" t="n">
        <v>0</v>
      </c>
      <c r="AB131" t="inlineStr">
        <is>
          <t>Mentions 'cleaner' which is a household chemical, not a supplement.</t>
        </is>
      </c>
    </row>
    <row r="132">
      <c r="A132" t="inlineStr">
        <is>
          <t>100123026</t>
        </is>
      </c>
      <c r="B132" t="inlineStr">
        <is>
          <t>2010-01-10 00:00:00</t>
        </is>
      </c>
      <c r="C132" t="inlineStr">
        <is>
          <t>2</t>
        </is>
      </c>
      <c r="D132" t="inlineStr">
        <is>
          <t>2</t>
        </is>
      </c>
      <c r="E132" t="inlineStr">
        <is>
          <t>0</t>
        </is>
      </c>
      <c r="F132" t="inlineStr"/>
      <c r="G132" t="inlineStr"/>
      <c r="H132" t="inlineStr">
        <is>
          <t>85</t>
        </is>
      </c>
      <c r="I132" t="inlineStr">
        <is>
          <t>68</t>
        </is>
      </c>
      <c r="J132" t="inlineStr"/>
      <c r="K132" t="inlineStr"/>
      <c r="L132" t="inlineStr"/>
      <c r="M132" t="inlineStr"/>
      <c r="N132" t="inlineStr">
        <is>
          <t>1</t>
        </is>
      </c>
      <c r="O132" t="inlineStr">
        <is>
          <t>1</t>
        </is>
      </c>
      <c r="P132" t="inlineStr">
        <is>
          <t>0</t>
        </is>
      </c>
      <c r="Q132" t="inlineStr">
        <is>
          <t>1927</t>
        </is>
      </c>
      <c r="R132" t="inlineStr">
        <is>
          <t>0</t>
        </is>
      </c>
      <c r="S132" t="inlineStr">
        <is>
          <t>0</t>
        </is>
      </c>
      <c r="T132" t="inlineStr"/>
      <c r="U132" t="inlineStr"/>
      <c r="V132" t="inlineStr">
        <is>
          <t>2YOF SWALLOWED COUGH MED</t>
        </is>
      </c>
      <c r="W132" t="inlineStr">
        <is>
          <t>V</t>
        </is>
      </c>
      <c r="X132" t="inlineStr">
        <is>
          <t>17</t>
        </is>
      </c>
      <c r="Y132" t="inlineStr">
        <is>
          <t>15.7843</t>
        </is>
      </c>
      <c r="Z132" t="n">
        <v>1</v>
      </c>
      <c r="AA132" t="n">
        <v>0</v>
      </c>
      <c r="AB132" t="inlineStr">
        <is>
          <t>Cough medicine is medication, not a supplement.</t>
        </is>
      </c>
    </row>
    <row r="133">
      <c r="A133" t="inlineStr">
        <is>
          <t>80231685</t>
        </is>
      </c>
      <c r="B133" t="inlineStr">
        <is>
          <t>2008-02-16 00:00:00</t>
        </is>
      </c>
      <c r="C133" t="inlineStr">
        <is>
          <t>18</t>
        </is>
      </c>
      <c r="D133" t="inlineStr">
        <is>
          <t>2</t>
        </is>
      </c>
      <c r="E133" t="inlineStr">
        <is>
          <t>1</t>
        </is>
      </c>
      <c r="F133" t="inlineStr"/>
      <c r="G133" t="inlineStr"/>
      <c r="H133" t="inlineStr">
        <is>
          <t>85</t>
        </is>
      </c>
      <c r="I133" t="inlineStr">
        <is>
          <t>68</t>
        </is>
      </c>
      <c r="J133" t="inlineStr"/>
      <c r="K133" t="inlineStr"/>
      <c r="L133" t="inlineStr"/>
      <c r="M133" t="inlineStr"/>
      <c r="N133" t="inlineStr">
        <is>
          <t>1</t>
        </is>
      </c>
      <c r="O133" t="inlineStr">
        <is>
          <t>1</t>
        </is>
      </c>
      <c r="P133" t="inlineStr">
        <is>
          <t>0</t>
        </is>
      </c>
      <c r="Q133" t="inlineStr">
        <is>
          <t>4076</t>
        </is>
      </c>
      <c r="R133" t="inlineStr">
        <is>
          <t>0</t>
        </is>
      </c>
      <c r="S133" t="inlineStr">
        <is>
          <t>0</t>
        </is>
      </c>
      <c r="T133" t="inlineStr"/>
      <c r="U133" t="inlineStr"/>
      <c r="V133" t="inlineStr">
        <is>
          <t>PT WAS DRINKING ALCOHOL &amp; BECAME CONFUSED &amp; FELL FROM BEDETHANOL LEVEL 119 DX: ALCOHOL INTOXICATION</t>
        </is>
      </c>
      <c r="W133" t="inlineStr">
        <is>
          <t>M</t>
        </is>
      </c>
      <c r="X133" t="inlineStr">
        <is>
          <t>16</t>
        </is>
      </c>
      <c r="Y133" t="inlineStr">
        <is>
          <t>87.3465</t>
        </is>
      </c>
      <c r="Z133" t="n">
        <v>0</v>
      </c>
      <c r="AA133" t="n">
        <v>0</v>
      </c>
      <c r="AB133" t="inlineStr">
        <is>
          <t>No mention of vitamins or supplements, only alcohol ingestion.</t>
        </is>
      </c>
    </row>
    <row r="134">
      <c r="A134" t="inlineStr">
        <is>
          <t>170723226</t>
        </is>
      </c>
      <c r="B134" t="inlineStr">
        <is>
          <t>2017-07-05 00:00:00</t>
        </is>
      </c>
      <c r="C134" t="inlineStr">
        <is>
          <t>63</t>
        </is>
      </c>
      <c r="D134" t="inlineStr">
        <is>
          <t>2</t>
        </is>
      </c>
      <c r="E134" t="inlineStr">
        <is>
          <t>1</t>
        </is>
      </c>
      <c r="F134" t="inlineStr"/>
      <c r="G134" t="inlineStr"/>
      <c r="H134" t="inlineStr">
        <is>
          <t>85</t>
        </is>
      </c>
      <c r="I134" t="inlineStr">
        <is>
          <t>68</t>
        </is>
      </c>
      <c r="J134" t="inlineStr"/>
      <c r="K134" t="inlineStr"/>
      <c r="L134" t="inlineStr"/>
      <c r="M134" t="inlineStr"/>
      <c r="N134" t="inlineStr">
        <is>
          <t>1</t>
        </is>
      </c>
      <c r="O134" t="inlineStr">
        <is>
          <t>1</t>
        </is>
      </c>
      <c r="P134" t="inlineStr">
        <is>
          <t>0</t>
        </is>
      </c>
      <c r="Q134" t="inlineStr">
        <is>
          <t>1122</t>
        </is>
      </c>
      <c r="R134" t="inlineStr">
        <is>
          <t>0</t>
        </is>
      </c>
      <c r="S134" t="inlineStr">
        <is>
          <t>0</t>
        </is>
      </c>
      <c r="T134" t="inlineStr"/>
      <c r="U134" t="inlineStr"/>
      <c r="V134" t="inlineStr">
        <is>
          <t>63 YOF DRANK BOTTLE WINE TONIGHT C/O NAUSEA &amp; DRY HEAVES DX NAUSEARESOLVED</t>
        </is>
      </c>
      <c r="W134" t="inlineStr">
        <is>
          <t>L</t>
        </is>
      </c>
      <c r="X134" t="inlineStr">
        <is>
          <t>44</t>
        </is>
      </c>
      <c r="Y134" t="inlineStr">
        <is>
          <t>67.2099</t>
        </is>
      </c>
      <c r="Z134" t="n">
        <v>0</v>
      </c>
      <c r="AA134" t="n">
        <v>0</v>
      </c>
      <c r="AB134" t="inlineStr">
        <is>
          <t>No mention of vitamins or supplements, only wine ingestion.</t>
        </is>
      </c>
    </row>
    <row r="135">
      <c r="A135" t="inlineStr">
        <is>
          <t>40552040</t>
        </is>
      </c>
      <c r="B135" t="inlineStr">
        <is>
          <t>2004-05-22 00:00:00</t>
        </is>
      </c>
      <c r="C135" t="inlineStr">
        <is>
          <t>210</t>
        </is>
      </c>
      <c r="D135" t="inlineStr">
        <is>
          <t>1</t>
        </is>
      </c>
      <c r="E135" t="inlineStr">
        <is>
          <t>0</t>
        </is>
      </c>
      <c r="F135" t="inlineStr"/>
      <c r="G135" t="inlineStr"/>
      <c r="H135" t="inlineStr">
        <is>
          <t>85</t>
        </is>
      </c>
      <c r="I135" t="inlineStr">
        <is>
          <t>68</t>
        </is>
      </c>
      <c r="J135" t="inlineStr"/>
      <c r="K135" t="inlineStr"/>
      <c r="L135" t="inlineStr"/>
      <c r="M135" t="inlineStr"/>
      <c r="N135" t="inlineStr">
        <is>
          <t>1</t>
        </is>
      </c>
      <c r="O135" t="inlineStr">
        <is>
          <t>0</t>
        </is>
      </c>
      <c r="P135" t="inlineStr">
        <is>
          <t>0</t>
        </is>
      </c>
      <c r="Q135" t="inlineStr">
        <is>
          <t>1931</t>
        </is>
      </c>
      <c r="R135" t="inlineStr">
        <is>
          <t>0</t>
        </is>
      </c>
      <c r="S135" t="inlineStr">
        <is>
          <t>0</t>
        </is>
      </c>
      <c r="T135" t="inlineStr"/>
      <c r="U135" t="inlineStr"/>
      <c r="V135" t="inlineStr">
        <is>
          <t>PT SUST ACCIDENTAL OVERDOSE OF A PILL TAKEN FROM GRANDMOTHER</t>
        </is>
      </c>
      <c r="W135" t="inlineStr">
        <is>
          <t>V</t>
        </is>
      </c>
      <c r="X135" t="inlineStr">
        <is>
          <t>77</t>
        </is>
      </c>
      <c r="Y135" t="inlineStr">
        <is>
          <t>16.7808</t>
        </is>
      </c>
      <c r="Z135" t="n">
        <v>1</v>
      </c>
      <c r="AA135" t="n">
        <v>0</v>
      </c>
      <c r="AB135" t="inlineStr">
        <is>
          <t>No explicit mention of vitamin or dietary supplement; overdose could be from any medication.</t>
        </is>
      </c>
    </row>
    <row r="136">
      <c r="A136" t="inlineStr">
        <is>
          <t>50610798</t>
        </is>
      </c>
      <c r="B136" t="inlineStr">
        <is>
          <t>2005-05-31 00:00:00</t>
        </is>
      </c>
      <c r="C136" t="inlineStr">
        <is>
          <t>218</t>
        </is>
      </c>
      <c r="D136" t="inlineStr">
        <is>
          <t>1</t>
        </is>
      </c>
      <c r="E136" t="inlineStr">
        <is>
          <t>1</t>
        </is>
      </c>
      <c r="F136" t="inlineStr"/>
      <c r="G136" t="inlineStr"/>
      <c r="H136" t="inlineStr">
        <is>
          <t>85</t>
        </is>
      </c>
      <c r="I136" t="inlineStr">
        <is>
          <t>68</t>
        </is>
      </c>
      <c r="J136" t="inlineStr"/>
      <c r="K136" t="inlineStr"/>
      <c r="L136" t="inlineStr"/>
      <c r="M136" t="inlineStr"/>
      <c r="N136" t="inlineStr">
        <is>
          <t>1</t>
        </is>
      </c>
      <c r="O136" t="inlineStr">
        <is>
          <t>0</t>
        </is>
      </c>
      <c r="P136" t="inlineStr">
        <is>
          <t>0</t>
        </is>
      </c>
      <c r="Q136" t="inlineStr">
        <is>
          <t>1915</t>
        </is>
      </c>
      <c r="R136" t="inlineStr">
        <is>
          <t>0</t>
        </is>
      </c>
      <c r="S136" t="inlineStr">
        <is>
          <t>0</t>
        </is>
      </c>
      <c r="T136" t="inlineStr"/>
      <c r="U136" t="inlineStr"/>
      <c r="V136" t="inlineStr">
        <is>
          <t>POSSIBLE INGESTION OF MUSCLE RUB OINTMENT-POSS POISONING</t>
        </is>
      </c>
      <c r="W136" t="inlineStr">
        <is>
          <t>V</t>
        </is>
      </c>
      <c r="X136" t="inlineStr">
        <is>
          <t>22</t>
        </is>
      </c>
      <c r="Y136" t="inlineStr">
        <is>
          <t>15.5095</t>
        </is>
      </c>
      <c r="Z136" t="n">
        <v>0</v>
      </c>
      <c r="AA136" t="n">
        <v>0</v>
      </c>
      <c r="AB136" t="inlineStr">
        <is>
          <t>Mentions 'muscle rub ointment' which is a household chemical/toxin, not a supplement.</t>
        </is>
      </c>
    </row>
    <row r="137">
      <c r="A137" t="inlineStr">
        <is>
          <t>130250171</t>
        </is>
      </c>
      <c r="B137" t="inlineStr">
        <is>
          <t>2013-02-25 00:00:00</t>
        </is>
      </c>
      <c r="C137" t="inlineStr">
        <is>
          <t>4</t>
        </is>
      </c>
      <c r="D137" t="inlineStr">
        <is>
          <t>1</t>
        </is>
      </c>
      <c r="E137" t="inlineStr">
        <is>
          <t>1</t>
        </is>
      </c>
      <c r="F137" t="inlineStr"/>
      <c r="G137" t="inlineStr"/>
      <c r="H137" t="inlineStr">
        <is>
          <t>85</t>
        </is>
      </c>
      <c r="I137" t="inlineStr">
        <is>
          <t>68</t>
        </is>
      </c>
      <c r="J137" t="inlineStr"/>
      <c r="K137" t="inlineStr"/>
      <c r="L137" t="inlineStr"/>
      <c r="M137" t="inlineStr"/>
      <c r="N137" t="inlineStr">
        <is>
          <t>5</t>
        </is>
      </c>
      <c r="O137" t="inlineStr">
        <is>
          <t>1</t>
        </is>
      </c>
      <c r="P137" t="inlineStr">
        <is>
          <t>0</t>
        </is>
      </c>
      <c r="Q137" t="inlineStr">
        <is>
          <t>1931</t>
        </is>
      </c>
      <c r="R137" t="inlineStr">
        <is>
          <t>0</t>
        </is>
      </c>
      <c r="S137" t="inlineStr">
        <is>
          <t>0</t>
        </is>
      </c>
      <c r="T137" t="inlineStr"/>
      <c r="U137" t="inlineStr"/>
      <c r="V137">
        <f>4 YOM INGESTION OF *** 10 MG PT THOUGHT IT WAS ***. DX. ACCIDENTAL DRUG INGESTION</f>
        <v/>
      </c>
      <c r="W137" t="inlineStr">
        <is>
          <t>V</t>
        </is>
      </c>
      <c r="X137" t="inlineStr">
        <is>
          <t>64</t>
        </is>
      </c>
      <c r="Y137" t="inlineStr">
        <is>
          <t>14.8537</t>
        </is>
      </c>
      <c r="Z137" t="n">
        <v>1</v>
      </c>
      <c r="AA137" t="n">
        <v>0</v>
      </c>
      <c r="AB137" t="inlineStr">
        <is>
          <t>No explicit mention of vitamin or dietary supplement, and mentions 'accidental drug ingestion' which implies a prescription medication.</t>
        </is>
      </c>
    </row>
    <row r="138">
      <c r="A138" t="inlineStr">
        <is>
          <t>90620338</t>
        </is>
      </c>
      <c r="B138" t="inlineStr">
        <is>
          <t>2009-05-29 00:00:00</t>
        </is>
      </c>
      <c r="C138" t="inlineStr">
        <is>
          <t>57</t>
        </is>
      </c>
      <c r="D138" t="inlineStr">
        <is>
          <t>2</t>
        </is>
      </c>
      <c r="E138" t="inlineStr">
        <is>
          <t>1</t>
        </is>
      </c>
      <c r="F138" t="inlineStr"/>
      <c r="G138" t="inlineStr"/>
      <c r="H138" t="inlineStr">
        <is>
          <t>85</t>
        </is>
      </c>
      <c r="I138" t="inlineStr">
        <is>
          <t>68</t>
        </is>
      </c>
      <c r="J138" t="inlineStr"/>
      <c r="K138" t="inlineStr"/>
      <c r="L138" t="inlineStr"/>
      <c r="M138" t="inlineStr"/>
      <c r="N138" t="inlineStr">
        <is>
          <t>1</t>
        </is>
      </c>
      <c r="O138" t="inlineStr">
        <is>
          <t>0</t>
        </is>
      </c>
      <c r="P138" t="inlineStr">
        <is>
          <t>0</t>
        </is>
      </c>
      <c r="Q138" t="inlineStr">
        <is>
          <t>1807</t>
        </is>
      </c>
      <c r="R138" t="inlineStr">
        <is>
          <t>0</t>
        </is>
      </c>
      <c r="S138" t="inlineStr">
        <is>
          <t>0</t>
        </is>
      </c>
      <c r="T138" t="inlineStr"/>
      <c r="U138" t="inlineStr"/>
      <c r="V138" t="inlineStr">
        <is>
          <t>57 YO F ALCOHOL INTXICATION PT HAD BEEN DRINKING FELL ON FLOOR IN BATHROOM*</t>
        </is>
      </c>
      <c r="W138" t="inlineStr">
        <is>
          <t>M</t>
        </is>
      </c>
      <c r="X138" t="inlineStr">
        <is>
          <t>68</t>
        </is>
      </c>
      <c r="Y138" t="inlineStr">
        <is>
          <t>75.3912</t>
        </is>
      </c>
      <c r="Z138" t="n">
        <v>0</v>
      </c>
      <c r="AA138" t="n">
        <v>0</v>
      </c>
      <c r="AB138" t="inlineStr">
        <is>
          <t>No mention of vitamins or supplements; narrative mentions alcohol intoxication and fall.</t>
        </is>
      </c>
    </row>
    <row r="139">
      <c r="A139" t="inlineStr">
        <is>
          <t>210147236</t>
        </is>
      </c>
      <c r="B139" t="inlineStr">
        <is>
          <t>2021-01-19 00:00:00</t>
        </is>
      </c>
      <c r="C139" t="inlineStr">
        <is>
          <t>213</t>
        </is>
      </c>
      <c r="D139" t="inlineStr">
        <is>
          <t>2</t>
        </is>
      </c>
      <c r="E139" t="inlineStr">
        <is>
          <t>0</t>
        </is>
      </c>
      <c r="F139" t="inlineStr"/>
      <c r="G139" t="inlineStr">
        <is>
          <t>0</t>
        </is>
      </c>
      <c r="H139" t="inlineStr">
        <is>
          <t>85</t>
        </is>
      </c>
      <c r="I139" t="inlineStr">
        <is>
          <t>68</t>
        </is>
      </c>
      <c r="J139" t="inlineStr"/>
      <c r="K139" t="inlineStr"/>
      <c r="L139" t="inlineStr"/>
      <c r="M139" t="inlineStr"/>
      <c r="N139" t="inlineStr">
        <is>
          <t>4</t>
        </is>
      </c>
      <c r="O139" t="inlineStr">
        <is>
          <t>1</t>
        </is>
      </c>
      <c r="P139" t="inlineStr">
        <is>
          <t>0</t>
        </is>
      </c>
      <c r="Q139" t="inlineStr">
        <is>
          <t>1931</t>
        </is>
      </c>
      <c r="R139" t="inlineStr">
        <is>
          <t>1127</t>
        </is>
      </c>
      <c r="S139" t="inlineStr">
        <is>
          <t>0</t>
        </is>
      </c>
      <c r="T139" t="inlineStr">
        <is>
          <t>0</t>
        </is>
      </c>
      <c r="U139" t="inlineStr">
        <is>
          <t>1</t>
        </is>
      </c>
      <c r="V139" t="inlineStr">
        <is>
          <t>13MOF FOUND WITH DADS OPEN BOTTLE OF ***, 200MG EXTENDED RELEASE, 1 TABLET IN MOUTH, UNSURE AMOUNT INGESTED; DX: DRUG INGESTION</t>
        </is>
      </c>
      <c r="W139" t="inlineStr">
        <is>
          <t>C</t>
        </is>
      </c>
      <c r="X139" t="inlineStr">
        <is>
          <t>20</t>
        </is>
      </c>
      <c r="Y139" t="inlineStr">
        <is>
          <t>4.8516</t>
        </is>
      </c>
      <c r="Z139" t="n">
        <v>1</v>
      </c>
      <c r="AA139" t="n">
        <v>0</v>
      </c>
      <c r="AB139" t="inlineStr">
        <is>
          <t>Mentions 'drug ingestion' which implies medication, not a supplement.</t>
        </is>
      </c>
    </row>
    <row r="140">
      <c r="A140" t="inlineStr">
        <is>
          <t>151144766</t>
        </is>
      </c>
      <c r="B140" t="inlineStr">
        <is>
          <t>2015-09-12 00:00:00</t>
        </is>
      </c>
      <c r="C140" t="inlineStr">
        <is>
          <t>67</t>
        </is>
      </c>
      <c r="D140" t="inlineStr">
        <is>
          <t>2</t>
        </is>
      </c>
      <c r="E140" t="inlineStr">
        <is>
          <t>0</t>
        </is>
      </c>
      <c r="F140" t="inlineStr"/>
      <c r="G140" t="inlineStr"/>
      <c r="H140" t="inlineStr">
        <is>
          <t>85</t>
        </is>
      </c>
      <c r="I140" t="inlineStr">
        <is>
          <t>68</t>
        </is>
      </c>
      <c r="J140" t="inlineStr"/>
      <c r="K140" t="inlineStr"/>
      <c r="L140" t="inlineStr"/>
      <c r="M140" t="inlineStr"/>
      <c r="N140" t="inlineStr">
        <is>
          <t>4</t>
        </is>
      </c>
      <c r="O140" t="inlineStr">
        <is>
          <t>1</t>
        </is>
      </c>
      <c r="P140" t="inlineStr">
        <is>
          <t>0</t>
        </is>
      </c>
      <c r="Q140" t="inlineStr">
        <is>
          <t>1842</t>
        </is>
      </c>
      <c r="R140" t="inlineStr">
        <is>
          <t>0</t>
        </is>
      </c>
      <c r="S140" t="inlineStr">
        <is>
          <t>0</t>
        </is>
      </c>
      <c r="T140" t="inlineStr"/>
      <c r="U140" t="inlineStr"/>
      <c r="V140" t="inlineStr">
        <is>
          <t>67 YOF MEDICATION OVERDOSE, PRESENTS WITH FAMILY GOING DOWN STAIRS WHENSHE SUDDENLY BECAME CONFUSED W/ GLOSSY EYES, S/P TAKING MEDS</t>
        </is>
      </c>
      <c r="W140" t="inlineStr">
        <is>
          <t>L</t>
        </is>
      </c>
      <c r="X140" t="inlineStr">
        <is>
          <t>50</t>
        </is>
      </c>
      <c r="Y140" t="inlineStr">
        <is>
          <t>74.8813</t>
        </is>
      </c>
      <c r="Z140" t="n">
        <v>0</v>
      </c>
      <c r="AA140" t="n">
        <v>0</v>
      </c>
      <c r="AB140" t="inlineStr">
        <is>
          <t>Mentions 'medication overdose' which implies prescription or OTC medication, not a supplement.</t>
        </is>
      </c>
    </row>
    <row r="141">
      <c r="A141" t="inlineStr">
        <is>
          <t>120606423</t>
        </is>
      </c>
      <c r="B141" t="inlineStr">
        <is>
          <t>2012-05-10 00:00:00</t>
        </is>
      </c>
      <c r="C141" t="inlineStr">
        <is>
          <t>3</t>
        </is>
      </c>
      <c r="D141" t="inlineStr">
        <is>
          <t>1</t>
        </is>
      </c>
      <c r="E141" t="inlineStr">
        <is>
          <t>0</t>
        </is>
      </c>
      <c r="F141" t="inlineStr"/>
      <c r="G141" t="inlineStr"/>
      <c r="H141" t="inlineStr">
        <is>
          <t>85</t>
        </is>
      </c>
      <c r="I141" t="inlineStr">
        <is>
          <t>68</t>
        </is>
      </c>
      <c r="J141" t="inlineStr"/>
      <c r="K141" t="inlineStr"/>
      <c r="L141" t="inlineStr"/>
      <c r="M141" t="inlineStr"/>
      <c r="N141" t="inlineStr">
        <is>
          <t>1</t>
        </is>
      </c>
      <c r="O141" t="inlineStr">
        <is>
          <t>1</t>
        </is>
      </c>
      <c r="P141" t="inlineStr">
        <is>
          <t>0</t>
        </is>
      </c>
      <c r="Q141" t="inlineStr">
        <is>
          <t>1931</t>
        </is>
      </c>
      <c r="R141" t="inlineStr">
        <is>
          <t>1864</t>
        </is>
      </c>
      <c r="S141" t="inlineStr">
        <is>
          <t>0</t>
        </is>
      </c>
      <c r="T141" t="inlineStr"/>
      <c r="U141" t="inlineStr"/>
      <c r="V141" t="inlineStr">
        <is>
          <t>3YOM ACCIDENTAL INGESTION OF IBUPROFEN THAT PARENT LEFT ON COUNTER, DXOVERDOSE</t>
        </is>
      </c>
      <c r="W141" t="inlineStr">
        <is>
          <t>C</t>
        </is>
      </c>
      <c r="X141" t="inlineStr">
        <is>
          <t>32</t>
        </is>
      </c>
      <c r="Y141" t="inlineStr">
        <is>
          <t>5.9179</t>
        </is>
      </c>
      <c r="Z141" t="n">
        <v>1</v>
      </c>
      <c r="AA141" t="n">
        <v>0</v>
      </c>
      <c r="AB141" t="inlineStr">
        <is>
          <t>IBUPROFEN is an OTC medication, not a supplement.</t>
        </is>
      </c>
    </row>
    <row r="142">
      <c r="A142" t="inlineStr">
        <is>
          <t>160453072</t>
        </is>
      </c>
      <c r="B142" t="inlineStr">
        <is>
          <t>2016-04-23 00:00:00</t>
        </is>
      </c>
      <c r="C142" t="inlineStr">
        <is>
          <t>2</t>
        </is>
      </c>
      <c r="D142" t="inlineStr">
        <is>
          <t>1</t>
        </is>
      </c>
      <c r="E142" t="inlineStr">
        <is>
          <t>0</t>
        </is>
      </c>
      <c r="F142" t="inlineStr"/>
      <c r="G142" t="inlineStr"/>
      <c r="H142" t="inlineStr">
        <is>
          <t>85</t>
        </is>
      </c>
      <c r="I142" t="inlineStr">
        <is>
          <t>68</t>
        </is>
      </c>
      <c r="J142" t="inlineStr"/>
      <c r="K142" t="inlineStr"/>
      <c r="L142" t="inlineStr"/>
      <c r="M142" t="inlineStr"/>
      <c r="N142" t="inlineStr">
        <is>
          <t>1</t>
        </is>
      </c>
      <c r="O142" t="inlineStr">
        <is>
          <t>1</t>
        </is>
      </c>
      <c r="P142" t="inlineStr">
        <is>
          <t>0</t>
        </is>
      </c>
      <c r="Q142" t="inlineStr">
        <is>
          <t>1931</t>
        </is>
      </c>
      <c r="R142" t="inlineStr">
        <is>
          <t>0</t>
        </is>
      </c>
      <c r="S142" t="inlineStr">
        <is>
          <t>0</t>
        </is>
      </c>
      <c r="T142" t="inlineStr"/>
      <c r="U142" t="inlineStr"/>
      <c r="V142" t="inlineStr">
        <is>
          <t>2YOM POISONING- SWALLOWED 1X40MG LISINOPRIL TAB</t>
        </is>
      </c>
      <c r="W142" t="inlineStr">
        <is>
          <t>V</t>
        </is>
      </c>
      <c r="X142" t="inlineStr">
        <is>
          <t>17</t>
        </is>
      </c>
      <c r="Y142" t="inlineStr">
        <is>
          <t>14.6504</t>
        </is>
      </c>
      <c r="Z142" t="n">
        <v>1</v>
      </c>
      <c r="AA142" t="n">
        <v>0</v>
      </c>
      <c r="AB142" t="inlineStr">
        <is>
          <t>Lisinopril is an OTC medication, not a supplement.</t>
        </is>
      </c>
    </row>
    <row r="143">
      <c r="A143" t="inlineStr">
        <is>
          <t>210302774</t>
        </is>
      </c>
      <c r="B143" t="inlineStr">
        <is>
          <t>2021-02-27 00:00:00</t>
        </is>
      </c>
      <c r="C143" t="inlineStr">
        <is>
          <t>3</t>
        </is>
      </c>
      <c r="D143" t="inlineStr">
        <is>
          <t>1</t>
        </is>
      </c>
      <c r="E143" t="inlineStr">
        <is>
          <t>1</t>
        </is>
      </c>
      <c r="F143" t="inlineStr"/>
      <c r="G143" t="inlineStr">
        <is>
          <t>2</t>
        </is>
      </c>
      <c r="H143" t="inlineStr">
        <is>
          <t>85</t>
        </is>
      </c>
      <c r="I143" t="inlineStr">
        <is>
          <t>68</t>
        </is>
      </c>
      <c r="J143" t="inlineStr"/>
      <c r="K143" t="inlineStr"/>
      <c r="L143" t="inlineStr"/>
      <c r="M143" t="inlineStr"/>
      <c r="N143" t="inlineStr">
        <is>
          <t>1</t>
        </is>
      </c>
      <c r="O143" t="inlineStr">
        <is>
          <t>1</t>
        </is>
      </c>
      <c r="P143" t="inlineStr">
        <is>
          <t>0</t>
        </is>
      </c>
      <c r="Q143" t="inlineStr">
        <is>
          <t>1135</t>
        </is>
      </c>
      <c r="R143" t="inlineStr">
        <is>
          <t>1931</t>
        </is>
      </c>
      <c r="S143" t="inlineStr">
        <is>
          <t>0</t>
        </is>
      </c>
      <c r="T143" t="inlineStr">
        <is>
          <t>0</t>
        </is>
      </c>
      <c r="U143" t="inlineStr">
        <is>
          <t>1</t>
        </is>
      </c>
      <c r="V143" t="inlineStr">
        <is>
          <t>3 YOM GOT THE CAP OFF OF THE BOTTLE OF HIS FATHER'S 30MG IMMEDIATE RELEASE *** TABLETS AND MAY HAVE EATEN ANYWHERE FROM 0 UP TO A MAXIMUM OF 4 TABLETS. DX: ACCIDENTAL DRUG INGESTION.</t>
        </is>
      </c>
      <c r="W143" t="inlineStr">
        <is>
          <t>L</t>
        </is>
      </c>
      <c r="X143" t="inlineStr">
        <is>
          <t>5</t>
        </is>
      </c>
      <c r="Y143" t="inlineStr">
        <is>
          <t>57.0141</t>
        </is>
      </c>
      <c r="Z143" t="n">
        <v>1</v>
      </c>
      <c r="AA143" t="n">
        <v>0</v>
      </c>
      <c r="AB143" t="inlineStr">
        <is>
          <t>Mentions 'tablets' without specifying a supplement, and contains medication keywords ('IMMEDIATE RELEASE', 'DRUG INGESTION')</t>
        </is>
      </c>
    </row>
    <row r="144">
      <c r="A144" t="inlineStr">
        <is>
          <t>90606014</t>
        </is>
      </c>
      <c r="B144" t="inlineStr">
        <is>
          <t>2009-05-27 00:00:00</t>
        </is>
      </c>
      <c r="C144" t="inlineStr">
        <is>
          <t>2</t>
        </is>
      </c>
      <c r="D144" t="inlineStr">
        <is>
          <t>2</t>
        </is>
      </c>
      <c r="E144" t="inlineStr">
        <is>
          <t>2</t>
        </is>
      </c>
      <c r="F144" t="inlineStr"/>
      <c r="G144" t="inlineStr"/>
      <c r="H144" t="inlineStr">
        <is>
          <t>85</t>
        </is>
      </c>
      <c r="I144" t="inlineStr">
        <is>
          <t>68</t>
        </is>
      </c>
      <c r="J144" t="inlineStr"/>
      <c r="K144" t="inlineStr"/>
      <c r="L144" t="inlineStr"/>
      <c r="M144" t="inlineStr"/>
      <c r="N144" t="inlineStr">
        <is>
          <t>2</t>
        </is>
      </c>
      <c r="O144" t="inlineStr">
        <is>
          <t>1</t>
        </is>
      </c>
      <c r="P144" t="inlineStr">
        <is>
          <t>0</t>
        </is>
      </c>
      <c r="Q144" t="inlineStr">
        <is>
          <t>1931</t>
        </is>
      </c>
      <c r="R144" t="inlineStr">
        <is>
          <t>0</t>
        </is>
      </c>
      <c r="S144" t="inlineStr">
        <is>
          <t>0</t>
        </is>
      </c>
      <c r="T144" t="inlineStr"/>
      <c r="U144" t="inlineStr"/>
      <c r="V144" t="inlineStr">
        <is>
          <t>INGESTION OF *** TALBLET .3 MG. TRANSFERRED TO ***</t>
        </is>
      </c>
      <c r="W144" t="inlineStr">
        <is>
          <t>M</t>
        </is>
      </c>
      <c r="X144" t="inlineStr">
        <is>
          <t>78</t>
        </is>
      </c>
      <c r="Y144" t="inlineStr">
        <is>
          <t>75.3912</t>
        </is>
      </c>
      <c r="Z144" t="n">
        <v>1</v>
      </c>
      <c r="AA144" t="n">
        <v>0</v>
      </c>
      <c r="AB144" t="inlineStr">
        <is>
          <t>No mention of vitamin or dietary supplement; only mentions 'Talbet' which is an unknown substance.</t>
        </is>
      </c>
    </row>
    <row r="145">
      <c r="A145" t="inlineStr">
        <is>
          <t>161115278</t>
        </is>
      </c>
      <c r="B145" t="inlineStr">
        <is>
          <t>2016-11-03 00:00:00</t>
        </is>
      </c>
      <c r="C145" t="inlineStr">
        <is>
          <t>42</t>
        </is>
      </c>
      <c r="D145" t="inlineStr">
        <is>
          <t>2</t>
        </is>
      </c>
      <c r="E145" t="inlineStr">
        <is>
          <t>1</t>
        </is>
      </c>
      <c r="F145" t="inlineStr"/>
      <c r="G145" t="inlineStr"/>
      <c r="H145" t="inlineStr">
        <is>
          <t>85</t>
        </is>
      </c>
      <c r="I145" t="inlineStr">
        <is>
          <t>68</t>
        </is>
      </c>
      <c r="J145" t="inlineStr"/>
      <c r="K145" t="inlineStr"/>
      <c r="L145" t="inlineStr"/>
      <c r="M145" t="inlineStr"/>
      <c r="N145" t="inlineStr">
        <is>
          <t>4</t>
        </is>
      </c>
      <c r="O145" t="inlineStr">
        <is>
          <t>1</t>
        </is>
      </c>
      <c r="P145" t="inlineStr">
        <is>
          <t>0</t>
        </is>
      </c>
      <c r="Q145" t="inlineStr">
        <is>
          <t>966</t>
        </is>
      </c>
      <c r="R145" t="inlineStr">
        <is>
          <t>474</t>
        </is>
      </c>
      <c r="S145" t="inlineStr">
        <is>
          <t>0</t>
        </is>
      </c>
      <c r="T145" t="inlineStr"/>
      <c r="U145" t="inlineStr"/>
      <c r="V145" t="inlineStr">
        <is>
          <t>42 YOF INJURED AFTER ACCIDENTALLY INGESTION ANTIFREEZE FROM *** CUP ATHOME, NAUSEA. DX-ETHYLENE GYCOL POISONING,ACCIDENTAL,ADMITTED</t>
        </is>
      </c>
      <c r="W145" t="inlineStr">
        <is>
          <t>M</t>
        </is>
      </c>
      <c r="X145" t="inlineStr">
        <is>
          <t>78</t>
        </is>
      </c>
      <c r="Y145" t="inlineStr">
        <is>
          <t>92.9026</t>
        </is>
      </c>
      <c r="Z145" t="n">
        <v>0</v>
      </c>
      <c r="AA145" t="n">
        <v>0</v>
      </c>
      <c r="AB145" t="inlineStr">
        <is>
          <t>Mentions 'antifreeze' which is a household chemical/toxin, not a supplement.</t>
        </is>
      </c>
    </row>
    <row r="146">
      <c r="A146" t="inlineStr">
        <is>
          <t>120251493</t>
        </is>
      </c>
      <c r="B146" t="inlineStr">
        <is>
          <t>2012-02-24 00:00:00</t>
        </is>
      </c>
      <c r="C146" t="inlineStr">
        <is>
          <t>88</t>
        </is>
      </c>
      <c r="D146" t="inlineStr">
        <is>
          <t>2</t>
        </is>
      </c>
      <c r="E146" t="inlineStr">
        <is>
          <t>2</t>
        </is>
      </c>
      <c r="F146" t="inlineStr"/>
      <c r="G146" t="inlineStr"/>
      <c r="H146" t="inlineStr">
        <is>
          <t>85</t>
        </is>
      </c>
      <c r="I146" t="inlineStr">
        <is>
          <t>68</t>
        </is>
      </c>
      <c r="J146" t="inlineStr"/>
      <c r="K146" t="inlineStr"/>
      <c r="L146" t="inlineStr"/>
      <c r="M146" t="inlineStr"/>
      <c r="N146" t="inlineStr">
        <is>
          <t>1</t>
        </is>
      </c>
      <c r="O146" t="inlineStr">
        <is>
          <t>1</t>
        </is>
      </c>
      <c r="P146" t="inlineStr">
        <is>
          <t>0</t>
        </is>
      </c>
      <c r="Q146" t="inlineStr">
        <is>
          <t>1807</t>
        </is>
      </c>
      <c r="R146" t="inlineStr">
        <is>
          <t>0</t>
        </is>
      </c>
      <c r="S146" t="inlineStr">
        <is>
          <t>0</t>
        </is>
      </c>
      <c r="T146" t="inlineStr"/>
      <c r="U146" t="inlineStr"/>
      <c r="V146" t="inlineStr">
        <is>
          <t>88 Y FEMALE HAD SYNCOPAL EPISODE FALLING ON FLOOR, AFTER ETOH DRINKINGC/O FEELING WEAK</t>
        </is>
      </c>
      <c r="W146" t="inlineStr">
        <is>
          <t>V</t>
        </is>
      </c>
      <c r="X146" t="inlineStr">
        <is>
          <t>34</t>
        </is>
      </c>
      <c r="Y146" t="inlineStr">
        <is>
          <t>16.2344</t>
        </is>
      </c>
      <c r="Z146" t="n">
        <v>0</v>
      </c>
      <c r="AA146" t="n">
        <v>0</v>
      </c>
      <c r="AB146" t="inlineStr">
        <is>
          <t>No mention of vitamins or supplements; only mentions 'etoh' (alcohol) and 'weakness'.</t>
        </is>
      </c>
    </row>
    <row r="147">
      <c r="A147" t="inlineStr">
        <is>
          <t>190947314</t>
        </is>
      </c>
      <c r="B147" t="inlineStr">
        <is>
          <t>2019-09-16 00:00:00</t>
        </is>
      </c>
      <c r="C147" t="inlineStr">
        <is>
          <t>3</t>
        </is>
      </c>
      <c r="D147" t="inlineStr">
        <is>
          <t>2</t>
        </is>
      </c>
      <c r="E147" t="inlineStr">
        <is>
          <t>3</t>
        </is>
      </c>
      <c r="F147" t="inlineStr">
        <is>
          <t>UNKNOWN</t>
        </is>
      </c>
      <c r="G147" t="inlineStr">
        <is>
          <t>1</t>
        </is>
      </c>
      <c r="H147" t="inlineStr">
        <is>
          <t>85</t>
        </is>
      </c>
      <c r="I147" t="inlineStr">
        <is>
          <t>68</t>
        </is>
      </c>
      <c r="J147" t="inlineStr"/>
      <c r="K147" t="inlineStr"/>
      <c r="L147" t="inlineStr"/>
      <c r="M147" t="inlineStr"/>
      <c r="N147" t="inlineStr">
        <is>
          <t>1</t>
        </is>
      </c>
      <c r="O147" t="inlineStr">
        <is>
          <t>1</t>
        </is>
      </c>
      <c r="P147" t="inlineStr">
        <is>
          <t>0</t>
        </is>
      </c>
      <c r="Q147" t="inlineStr">
        <is>
          <t>949</t>
        </is>
      </c>
      <c r="R147" t="inlineStr">
        <is>
          <t>0</t>
        </is>
      </c>
      <c r="S147" t="inlineStr">
        <is>
          <t>0</t>
        </is>
      </c>
      <c r="T147" t="inlineStr">
        <is>
          <t>0</t>
        </is>
      </c>
      <c r="U147" t="inlineStr">
        <is>
          <t>0</t>
        </is>
      </c>
      <c r="V147" t="inlineStr">
        <is>
          <t>3 YOF BIT INTO A DETERGENT POD AT HOME.  THREW UP ONCE.  DX POISONING</t>
        </is>
      </c>
      <c r="W147" t="inlineStr">
        <is>
          <t>C</t>
        </is>
      </c>
      <c r="X147" t="inlineStr">
        <is>
          <t>31</t>
        </is>
      </c>
      <c r="Y147" t="inlineStr">
        <is>
          <t>4.8283</t>
        </is>
      </c>
      <c r="Z147" t="n">
        <v>0</v>
      </c>
      <c r="AA147" t="n">
        <v>0</v>
      </c>
      <c r="AB147" t="inlineStr">
        <is>
          <t>Mentions 'laundry detergent' which is a chemical, not a supplement.</t>
        </is>
      </c>
    </row>
    <row r="148">
      <c r="A148" t="inlineStr">
        <is>
          <t>160458036</t>
        </is>
      </c>
      <c r="B148" t="inlineStr">
        <is>
          <t>2016-04-25 00:00:00</t>
        </is>
      </c>
      <c r="C148" t="inlineStr">
        <is>
          <t>57</t>
        </is>
      </c>
      <c r="D148" t="inlineStr">
        <is>
          <t>1</t>
        </is>
      </c>
      <c r="E148" t="inlineStr">
        <is>
          <t>3</t>
        </is>
      </c>
      <c r="F148" t="inlineStr">
        <is>
          <t>UNKNOWN</t>
        </is>
      </c>
      <c r="G148" t="inlineStr"/>
      <c r="H148" t="inlineStr">
        <is>
          <t>85</t>
        </is>
      </c>
      <c r="I148" t="inlineStr">
        <is>
          <t>68</t>
        </is>
      </c>
      <c r="J148" t="inlineStr"/>
      <c r="K148" t="inlineStr"/>
      <c r="L148" t="inlineStr"/>
      <c r="M148" t="inlineStr"/>
      <c r="N148" t="inlineStr">
        <is>
          <t>1</t>
        </is>
      </c>
      <c r="O148" t="inlineStr">
        <is>
          <t>5</t>
        </is>
      </c>
      <c r="P148" t="inlineStr">
        <is>
          <t>0</t>
        </is>
      </c>
      <c r="Q148" t="inlineStr">
        <is>
          <t>1122</t>
        </is>
      </c>
      <c r="R148" t="inlineStr">
        <is>
          <t>0</t>
        </is>
      </c>
      <c r="S148" t="inlineStr">
        <is>
          <t>0</t>
        </is>
      </c>
      <c r="T148" t="inlineStr"/>
      <c r="U148" t="inlineStr"/>
      <c r="V148" t="inlineStr">
        <is>
          <t>57 YOM BIBA FROM A HOTEL, WAS FOUND IN ROOM INTOXICATED, 7 EMPTY LIQUORBOTTLES IN ROOM, DX: ACUTE ALCOHOL INTOXICATION, ALCOHOL ABUSE</t>
        </is>
      </c>
      <c r="W148" t="inlineStr">
        <is>
          <t>V</t>
        </is>
      </c>
      <c r="X148" t="inlineStr">
        <is>
          <t>61</t>
        </is>
      </c>
      <c r="Y148" t="inlineStr">
        <is>
          <t>14.6504</t>
        </is>
      </c>
      <c r="Z148" t="n">
        <v>0</v>
      </c>
      <c r="AA148" t="n">
        <v>0</v>
      </c>
      <c r="AB148" t="inlineStr">
        <is>
          <t>No mention of vitamins or supplements.</t>
        </is>
      </c>
    </row>
    <row r="149">
      <c r="A149" t="inlineStr">
        <is>
          <t>120228619</t>
        </is>
      </c>
      <c r="B149" t="inlineStr">
        <is>
          <t>2012-02-12 00:00:00</t>
        </is>
      </c>
      <c r="C149" t="inlineStr">
        <is>
          <t>2</t>
        </is>
      </c>
      <c r="D149" t="inlineStr">
        <is>
          <t>1</t>
        </is>
      </c>
      <c r="E149" t="inlineStr">
        <is>
          <t>2</t>
        </is>
      </c>
      <c r="F149" t="inlineStr"/>
      <c r="G149" t="inlineStr"/>
      <c r="H149" t="inlineStr">
        <is>
          <t>85</t>
        </is>
      </c>
      <c r="I149" t="inlineStr">
        <is>
          <t>68</t>
        </is>
      </c>
      <c r="J149" t="inlineStr"/>
      <c r="K149" t="inlineStr"/>
      <c r="L149" t="inlineStr"/>
      <c r="M149" t="inlineStr"/>
      <c r="N149" t="inlineStr">
        <is>
          <t>1</t>
        </is>
      </c>
      <c r="O149" t="inlineStr">
        <is>
          <t>0</t>
        </is>
      </c>
      <c r="P149" t="inlineStr">
        <is>
          <t>0</t>
        </is>
      </c>
      <c r="Q149" t="inlineStr">
        <is>
          <t>1931</t>
        </is>
      </c>
      <c r="R149" t="inlineStr">
        <is>
          <t>0</t>
        </is>
      </c>
      <c r="S149" t="inlineStr">
        <is>
          <t>0</t>
        </is>
      </c>
      <c r="T149" t="inlineStr"/>
      <c r="U149" t="inlineStr"/>
      <c r="V149" t="inlineStr">
        <is>
          <t>2YOM ACCIDENTAL DRUG OVERDOSE PT TOOK ONE 40 MG *** PILL. POISON CONTROL CALLED IN ER</t>
        </is>
      </c>
      <c r="W149" t="inlineStr">
        <is>
          <t>S</t>
        </is>
      </c>
      <c r="X149" t="inlineStr">
        <is>
          <t>39</t>
        </is>
      </c>
      <c r="Y149" t="inlineStr">
        <is>
          <t>69.9872</t>
        </is>
      </c>
      <c r="Z149" t="n">
        <v>1</v>
      </c>
      <c r="AA149" t="n">
        <v>0</v>
      </c>
      <c r="AB149" t="inlineStr">
        <is>
          <t>Mentions 'drug overdose' and 'pill', which implies prescription medication, not a supplement.</t>
        </is>
      </c>
    </row>
    <row r="150">
      <c r="A150" t="inlineStr">
        <is>
          <t>160806904</t>
        </is>
      </c>
      <c r="B150" t="inlineStr">
        <is>
          <t>2016-06-18 00:00:00</t>
        </is>
      </c>
      <c r="C150" t="inlineStr">
        <is>
          <t>90</t>
        </is>
      </c>
      <c r="D150" t="inlineStr">
        <is>
          <t>2</t>
        </is>
      </c>
      <c r="E150" t="inlineStr">
        <is>
          <t>1</t>
        </is>
      </c>
      <c r="F150" t="inlineStr"/>
      <c r="G150" t="inlineStr"/>
      <c r="H150" t="inlineStr">
        <is>
          <t>85</t>
        </is>
      </c>
      <c r="I150" t="inlineStr">
        <is>
          <t>68</t>
        </is>
      </c>
      <c r="J150" t="inlineStr"/>
      <c r="K150" t="inlineStr"/>
      <c r="L150" t="inlineStr"/>
      <c r="M150" t="inlineStr"/>
      <c r="N150" t="inlineStr">
        <is>
          <t>4</t>
        </is>
      </c>
      <c r="O150" t="inlineStr">
        <is>
          <t>1</t>
        </is>
      </c>
      <c r="P150" t="inlineStr">
        <is>
          <t>0</t>
        </is>
      </c>
      <c r="Q150" t="inlineStr">
        <is>
          <t>1807</t>
        </is>
      </c>
      <c r="R150" t="inlineStr">
        <is>
          <t>0</t>
        </is>
      </c>
      <c r="S150" t="inlineStr">
        <is>
          <t>0</t>
        </is>
      </c>
      <c r="T150" t="inlineStr"/>
      <c r="U150" t="inlineStr"/>
      <c r="V150" t="inlineStr">
        <is>
          <t>90 YOF C/O FALLING ON THE FLOOR CUTTING HER ARM. UNCONTROLLED BLEEDING.PT ON ***. PT 72.3 INR 7.0. DX COAGULOPATHY, LACERATION FOREARM</t>
        </is>
      </c>
      <c r="W150" t="inlineStr">
        <is>
          <t>M</t>
        </is>
      </c>
      <c r="X150" t="inlineStr">
        <is>
          <t>68</t>
        </is>
      </c>
      <c r="Y150" t="inlineStr">
        <is>
          <t>103.2251</t>
        </is>
      </c>
      <c r="Z150" t="n">
        <v>0</v>
      </c>
      <c r="AA150" t="n">
        <v>0</v>
      </c>
      <c r="AB150" t="inlineStr">
        <is>
          <t>No mention of vitamins or supplements.</t>
        </is>
      </c>
    </row>
    <row r="151">
      <c r="A151" t="inlineStr">
        <is>
          <t>120505357</t>
        </is>
      </c>
      <c r="B151" t="inlineStr">
        <is>
          <t>2012-04-27 00:00:00</t>
        </is>
      </c>
      <c r="C151" t="inlineStr">
        <is>
          <t>2</t>
        </is>
      </c>
      <c r="D151" t="inlineStr">
        <is>
          <t>2</t>
        </is>
      </c>
      <c r="E151" t="inlineStr">
        <is>
          <t>0</t>
        </is>
      </c>
      <c r="F151" t="inlineStr"/>
      <c r="G151" t="inlineStr"/>
      <c r="H151" t="inlineStr">
        <is>
          <t>85</t>
        </is>
      </c>
      <c r="I151" t="inlineStr">
        <is>
          <t>68</t>
        </is>
      </c>
      <c r="J151" t="inlineStr"/>
      <c r="K151" t="inlineStr"/>
      <c r="L151" t="inlineStr"/>
      <c r="M151" t="inlineStr"/>
      <c r="N151" t="inlineStr">
        <is>
          <t>1</t>
        </is>
      </c>
      <c r="O151" t="inlineStr">
        <is>
          <t>1</t>
        </is>
      </c>
      <c r="P151" t="inlineStr">
        <is>
          <t>0</t>
        </is>
      </c>
      <c r="Q151" t="inlineStr">
        <is>
          <t>964</t>
        </is>
      </c>
      <c r="R151" t="inlineStr">
        <is>
          <t>0</t>
        </is>
      </c>
      <c r="S151" t="inlineStr">
        <is>
          <t>0</t>
        </is>
      </c>
      <c r="T151" t="inlineStr"/>
      <c r="U151" t="inlineStr"/>
      <c r="V151" t="inlineStr">
        <is>
          <t>2YOF POISONING- SWALLOWED TORCH OIL</t>
        </is>
      </c>
      <c r="W151" t="inlineStr">
        <is>
          <t>V</t>
        </is>
      </c>
      <c r="X151" t="inlineStr">
        <is>
          <t>17</t>
        </is>
      </c>
      <c r="Y151" t="inlineStr">
        <is>
          <t>16.2344</t>
        </is>
      </c>
      <c r="Z151" t="n">
        <v>0</v>
      </c>
      <c r="AA151" t="n">
        <v>0</v>
      </c>
      <c r="AB151" t="inlineStr">
        <is>
          <t>Torch oil is a household chemical, not a supplement.</t>
        </is>
      </c>
    </row>
    <row r="152">
      <c r="A152" t="inlineStr">
        <is>
          <t>200419974</t>
        </is>
      </c>
      <c r="B152" t="inlineStr">
        <is>
          <t>2020-04-11 00:00:00</t>
        </is>
      </c>
      <c r="C152" t="inlineStr">
        <is>
          <t>216</t>
        </is>
      </c>
      <c r="D152" t="inlineStr">
        <is>
          <t>2</t>
        </is>
      </c>
      <c r="E152" t="inlineStr">
        <is>
          <t>1</t>
        </is>
      </c>
      <c r="F152" t="inlineStr"/>
      <c r="G152" t="inlineStr">
        <is>
          <t>2</t>
        </is>
      </c>
      <c r="H152" t="inlineStr">
        <is>
          <t>85</t>
        </is>
      </c>
      <c r="I152" t="inlineStr">
        <is>
          <t>68</t>
        </is>
      </c>
      <c r="J152" t="inlineStr"/>
      <c r="K152" t="inlineStr"/>
      <c r="L152" t="inlineStr"/>
      <c r="M152" t="inlineStr"/>
      <c r="N152" t="inlineStr">
        <is>
          <t>4</t>
        </is>
      </c>
      <c r="O152" t="inlineStr">
        <is>
          <t>0</t>
        </is>
      </c>
      <c r="P152" t="inlineStr">
        <is>
          <t>0</t>
        </is>
      </c>
      <c r="Q152" t="inlineStr">
        <is>
          <t>1931</t>
        </is>
      </c>
      <c r="R152" t="inlineStr">
        <is>
          <t>1807</t>
        </is>
      </c>
      <c r="S152" t="inlineStr">
        <is>
          <t>1144</t>
        </is>
      </c>
      <c r="T152" t="inlineStr">
        <is>
          <t>0</t>
        </is>
      </c>
      <c r="U152" t="inlineStr">
        <is>
          <t>1</t>
        </is>
      </c>
      <c r="V152" t="inlineStr">
        <is>
          <t>16MOF GOT AHOLD OF SIBLINGS 10MG *** TABLETS TODAY, SIBLING LEFT PILL IN BAG ON FLOOR. DX: AMPHETAMINE ADVERSE REACTION</t>
        </is>
      </c>
      <c r="W152" t="inlineStr">
        <is>
          <t>C</t>
        </is>
      </c>
      <c r="X152" t="inlineStr">
        <is>
          <t>8</t>
        </is>
      </c>
      <c r="Y152" t="inlineStr">
        <is>
          <t>4.851</t>
        </is>
      </c>
      <c r="Z152" t="n">
        <v>1</v>
      </c>
      <c r="AA152" t="n">
        <v>0</v>
      </c>
      <c r="AB152" t="inlineStr">
        <is>
          <t>Mentions '*** tablets' which are likely medication (amphetamine) and not a supplement.</t>
        </is>
      </c>
    </row>
    <row r="153">
      <c r="A153" t="inlineStr">
        <is>
          <t>70643048</t>
        </is>
      </c>
      <c r="B153" t="inlineStr">
        <is>
          <t>2007-06-20 00:00:00</t>
        </is>
      </c>
      <c r="C153" t="inlineStr">
        <is>
          <t>2</t>
        </is>
      </c>
      <c r="D153" t="inlineStr">
        <is>
          <t>2</t>
        </is>
      </c>
      <c r="E153" t="inlineStr">
        <is>
          <t>3</t>
        </is>
      </c>
      <c r="F153" t="inlineStr">
        <is>
          <t>UNKNOWN</t>
        </is>
      </c>
      <c r="G153" t="inlineStr"/>
      <c r="H153" t="inlineStr">
        <is>
          <t>85</t>
        </is>
      </c>
      <c r="I153" t="inlineStr">
        <is>
          <t>68</t>
        </is>
      </c>
      <c r="J153" t="inlineStr"/>
      <c r="K153" t="inlineStr"/>
      <c r="L153" t="inlineStr"/>
      <c r="M153" t="inlineStr"/>
      <c r="N153" t="inlineStr">
        <is>
          <t>1</t>
        </is>
      </c>
      <c r="O153" t="inlineStr">
        <is>
          <t>1</t>
        </is>
      </c>
      <c r="P153" t="inlineStr">
        <is>
          <t>0</t>
        </is>
      </c>
      <c r="Q153" t="inlineStr">
        <is>
          <t>1931</t>
        </is>
      </c>
      <c r="R153" t="inlineStr">
        <is>
          <t>0</t>
        </is>
      </c>
      <c r="S153" t="inlineStr">
        <is>
          <t>0</t>
        </is>
      </c>
      <c r="T153" t="inlineStr"/>
      <c r="U153" t="inlineStr"/>
      <c r="V153" t="inlineStr">
        <is>
          <t>PT OBSERVED TO BE WALKING AROUND WITH DAD'S PILL BOTTLE, TOOK BOTTLE &amp;NOTICED TO BE EMPTY, 8 PILLS MISSING (***)</t>
        </is>
      </c>
      <c r="W153" t="inlineStr">
        <is>
          <t>V</t>
        </is>
      </c>
      <c r="X153" t="inlineStr">
        <is>
          <t>61</t>
        </is>
      </c>
      <c r="Y153" t="inlineStr">
        <is>
          <t>15.1766</t>
        </is>
      </c>
      <c r="Z153" t="n">
        <v>1</v>
      </c>
      <c r="AA153" t="n">
        <v>0</v>
      </c>
      <c r="AB153" t="inlineStr">
        <is>
          <t>No explicit mention of vitamin or supplement ingestion.</t>
        </is>
      </c>
    </row>
    <row r="154">
      <c r="A154" t="inlineStr">
        <is>
          <t>210440218</t>
        </is>
      </c>
      <c r="B154" t="inlineStr">
        <is>
          <t>2021-04-20 00:00:00</t>
        </is>
      </c>
      <c r="C154" t="inlineStr">
        <is>
          <t>83</t>
        </is>
      </c>
      <c r="D154" t="inlineStr">
        <is>
          <t>2</t>
        </is>
      </c>
      <c r="E154" t="inlineStr">
        <is>
          <t>1</t>
        </is>
      </c>
      <c r="F154" t="inlineStr"/>
      <c r="G154" t="inlineStr">
        <is>
          <t>2</t>
        </is>
      </c>
      <c r="H154" t="inlineStr">
        <is>
          <t>85</t>
        </is>
      </c>
      <c r="I154" t="inlineStr">
        <is>
          <t>68</t>
        </is>
      </c>
      <c r="J154" t="inlineStr"/>
      <c r="K154" t="inlineStr">
        <is>
          <t>87</t>
        </is>
      </c>
      <c r="L154" t="inlineStr">
        <is>
          <t>71</t>
        </is>
      </c>
      <c r="M154" t="inlineStr">
        <is>
          <t>NS</t>
        </is>
      </c>
      <c r="N154" t="inlineStr">
        <is>
          <t>4</t>
        </is>
      </c>
      <c r="O154" t="inlineStr">
        <is>
          <t>1</t>
        </is>
      </c>
      <c r="P154" t="inlineStr">
        <is>
          <t>0</t>
        </is>
      </c>
      <c r="Q154" t="inlineStr">
        <is>
          <t>4076</t>
        </is>
      </c>
      <c r="R154" t="inlineStr">
        <is>
          <t>0</t>
        </is>
      </c>
      <c r="S154" t="inlineStr">
        <is>
          <t>0</t>
        </is>
      </c>
      <c r="T154" t="inlineStr">
        <is>
          <t>0</t>
        </is>
      </c>
      <c r="U154" t="inlineStr">
        <is>
          <t>1</t>
        </is>
      </c>
      <c r="V154" t="inlineStr">
        <is>
          <t>83 YOF C/O SHORTNESS OF BREATH AND CHEST PAIN S/P FALL OUT OF BED AT HOME DUE TO NOT FEELING WELL AFTER RECEIVING MONOCLONAL ANTIBODY TREATMENT FOR COVID-19 THE PREVIOUS DAY. PATIENT TESTED POSITIVE FOR COVID-19 ON 4/15/21. DX: SHORTNESS OF BREATH; FALL IN HOME; ELEVATED INR; HYPOXIA; COVID-19 VIRUS INFECTION</t>
        </is>
      </c>
      <c r="W154" t="inlineStr">
        <is>
          <t>L</t>
        </is>
      </c>
      <c r="X154" t="inlineStr">
        <is>
          <t>3</t>
        </is>
      </c>
      <c r="Y154" t="inlineStr">
        <is>
          <t>57.0141</t>
        </is>
      </c>
      <c r="Z154" t="n">
        <v>0</v>
      </c>
      <c r="AA154" t="n">
        <v>0</v>
      </c>
      <c r="AB154" t="inlineStr">
        <is>
          <t>No mention of vitamins or supplements, and treatment for COVID-19 is medication.</t>
        </is>
      </c>
    </row>
    <row r="155">
      <c r="A155" t="inlineStr">
        <is>
          <t>80763724</t>
        </is>
      </c>
      <c r="B155" t="inlineStr">
        <is>
          <t>2008-07-25 00:00:00</t>
        </is>
      </c>
      <c r="C155" t="inlineStr">
        <is>
          <t>3</t>
        </is>
      </c>
      <c r="D155" t="inlineStr">
        <is>
          <t>1</t>
        </is>
      </c>
      <c r="E155" t="inlineStr">
        <is>
          <t>0</t>
        </is>
      </c>
      <c r="F155" t="inlineStr"/>
      <c r="G155" t="inlineStr"/>
      <c r="H155" t="inlineStr">
        <is>
          <t>85</t>
        </is>
      </c>
      <c r="I155" t="inlineStr">
        <is>
          <t>68</t>
        </is>
      </c>
      <c r="J155" t="inlineStr"/>
      <c r="K155" t="inlineStr"/>
      <c r="L155" t="inlineStr"/>
      <c r="M155" t="inlineStr"/>
      <c r="N155" t="inlineStr">
        <is>
          <t>1</t>
        </is>
      </c>
      <c r="O155" t="inlineStr">
        <is>
          <t>1</t>
        </is>
      </c>
      <c r="P155" t="inlineStr">
        <is>
          <t>0</t>
        </is>
      </c>
      <c r="Q155" t="inlineStr">
        <is>
          <t>1930</t>
        </is>
      </c>
      <c r="R155" t="inlineStr">
        <is>
          <t>0</t>
        </is>
      </c>
      <c r="S155" t="inlineStr">
        <is>
          <t>0</t>
        </is>
      </c>
      <c r="T155" t="inlineStr"/>
      <c r="U155" t="inlineStr"/>
      <c r="V155" t="inlineStr">
        <is>
          <t>*** INGESTION</t>
        </is>
      </c>
      <c r="W155" t="inlineStr">
        <is>
          <t>C</t>
        </is>
      </c>
      <c r="X155" t="inlineStr">
        <is>
          <t>37</t>
        </is>
      </c>
      <c r="Y155" t="inlineStr">
        <is>
          <t>6.527</t>
        </is>
      </c>
      <c r="Z155" t="n">
        <v>0</v>
      </c>
      <c r="AA155" t="n">
        <v>0</v>
      </c>
      <c r="AB155" t="inlineStr">
        <is>
          <t>Ingestion alone does NOT imply label=1; no specific vitamin/supplement mentioned.</t>
        </is>
      </c>
    </row>
    <row r="156">
      <c r="A156" t="inlineStr">
        <is>
          <t>210332642</t>
        </is>
      </c>
      <c r="B156" t="inlineStr">
        <is>
          <t>2021-03-01 00:00:00</t>
        </is>
      </c>
      <c r="C156" t="inlineStr">
        <is>
          <t>216</t>
        </is>
      </c>
      <c r="D156" t="inlineStr">
        <is>
          <t>2</t>
        </is>
      </c>
      <c r="E156" t="inlineStr">
        <is>
          <t>1</t>
        </is>
      </c>
      <c r="F156" t="inlineStr"/>
      <c r="G156" t="inlineStr">
        <is>
          <t>1</t>
        </is>
      </c>
      <c r="H156" t="inlineStr">
        <is>
          <t>85</t>
        </is>
      </c>
      <c r="I156" t="inlineStr">
        <is>
          <t>68</t>
        </is>
      </c>
      <c r="J156" t="inlineStr"/>
      <c r="K156" t="inlineStr"/>
      <c r="L156" t="inlineStr"/>
      <c r="M156" t="inlineStr"/>
      <c r="N156" t="inlineStr">
        <is>
          <t>1</t>
        </is>
      </c>
      <c r="O156" t="inlineStr">
        <is>
          <t>0</t>
        </is>
      </c>
      <c r="P156" t="inlineStr">
        <is>
          <t>0</t>
        </is>
      </c>
      <c r="Q156" t="inlineStr">
        <is>
          <t>5555</t>
        </is>
      </c>
      <c r="R156" t="inlineStr">
        <is>
          <t>1807</t>
        </is>
      </c>
      <c r="S156" t="inlineStr">
        <is>
          <t>1135</t>
        </is>
      </c>
      <c r="T156" t="inlineStr">
        <is>
          <t>0</t>
        </is>
      </c>
      <c r="U156" t="inlineStr">
        <is>
          <t>0</t>
        </is>
      </c>
      <c r="V156" t="inlineStr">
        <is>
          <t>16MOF S/P SWALLOWING HAND SANITIZER. MOM BROUGHT BOTTLE (2OZ 70% ALCOHOL) THAT WAS 1/2 FULL EARLIER &amp; HAS ~5ML LEFT. SOME WAS NOTED ON FLOOR BY MOM +VOMITING DX ALCOHOL INGESTION</t>
        </is>
      </c>
      <c r="W156" t="inlineStr">
        <is>
          <t>L</t>
        </is>
      </c>
      <c r="X156" t="inlineStr">
        <is>
          <t>55</t>
        </is>
      </c>
      <c r="Y156" t="inlineStr">
        <is>
          <t>57.0141</t>
        </is>
      </c>
      <c r="Z156" t="n">
        <v>0</v>
      </c>
      <c r="AA156" t="n">
        <v>0</v>
      </c>
      <c r="AB156" t="inlineStr">
        <is>
          <t>Hand sanitizer is a household chemical, not a supplement.</t>
        </is>
      </c>
    </row>
    <row r="157">
      <c r="A157" t="inlineStr">
        <is>
          <t>161145054</t>
        </is>
      </c>
      <c r="B157" t="inlineStr">
        <is>
          <t>2016-08-08 00:00:00</t>
        </is>
      </c>
      <c r="C157" t="inlineStr">
        <is>
          <t>42</t>
        </is>
      </c>
      <c r="D157" t="inlineStr">
        <is>
          <t>1</t>
        </is>
      </c>
      <c r="E157" t="inlineStr">
        <is>
          <t>0</t>
        </is>
      </c>
      <c r="F157" t="inlineStr"/>
      <c r="G157" t="inlineStr"/>
      <c r="H157" t="inlineStr">
        <is>
          <t>85</t>
        </is>
      </c>
      <c r="I157" t="inlineStr">
        <is>
          <t>68</t>
        </is>
      </c>
      <c r="J157" t="inlineStr"/>
      <c r="K157" t="inlineStr"/>
      <c r="L157" t="inlineStr"/>
      <c r="M157" t="inlineStr"/>
      <c r="N157" t="inlineStr">
        <is>
          <t>1</t>
        </is>
      </c>
      <c r="O157" t="inlineStr">
        <is>
          <t>1</t>
        </is>
      </c>
      <c r="P157" t="inlineStr">
        <is>
          <t>0</t>
        </is>
      </c>
      <c r="Q157" t="inlineStr">
        <is>
          <t>1439</t>
        </is>
      </c>
      <c r="R157" t="inlineStr">
        <is>
          <t>0</t>
        </is>
      </c>
      <c r="S157" t="inlineStr">
        <is>
          <t>0</t>
        </is>
      </c>
      <c r="T157" t="inlineStr"/>
      <c r="U157" t="inlineStr"/>
      <c r="V157" t="inlineStr">
        <is>
          <t>42YOM C/O CHEST PAIN. LIKELY REALTED TO ASTHMA IN SETTING OF COCAINE USE AFTER HE WAS CUTTING THE GRASS. DX COCAINE USE, CHEST PAIN</t>
        </is>
      </c>
      <c r="W157" t="inlineStr">
        <is>
          <t>V</t>
        </is>
      </c>
      <c r="X157" t="inlineStr">
        <is>
          <t>41</t>
        </is>
      </c>
      <c r="Y157" t="inlineStr">
        <is>
          <t>14.6504</t>
        </is>
      </c>
      <c r="Z157" t="n">
        <v>0</v>
      </c>
      <c r="AA157" t="n">
        <v>0</v>
      </c>
      <c r="AB157" t="inlineStr">
        <is>
          <t>No mention of vitamins or dietary supplements.</t>
        </is>
      </c>
    </row>
    <row r="158">
      <c r="A158" t="inlineStr">
        <is>
          <t>121128485</t>
        </is>
      </c>
      <c r="B158" t="inlineStr">
        <is>
          <t>2012-11-11 00:00:00</t>
        </is>
      </c>
      <c r="C158" t="inlineStr">
        <is>
          <t>222</t>
        </is>
      </c>
      <c r="D158" t="inlineStr">
        <is>
          <t>1</t>
        </is>
      </c>
      <c r="E158" t="inlineStr">
        <is>
          <t>0</t>
        </is>
      </c>
      <c r="F158" t="inlineStr"/>
      <c r="G158" t="inlineStr"/>
      <c r="H158" t="inlineStr">
        <is>
          <t>85</t>
        </is>
      </c>
      <c r="I158" t="inlineStr">
        <is>
          <t>68</t>
        </is>
      </c>
      <c r="J158" t="inlineStr"/>
      <c r="K158" t="inlineStr"/>
      <c r="L158" t="inlineStr"/>
      <c r="M158" t="inlineStr"/>
      <c r="N158" t="inlineStr">
        <is>
          <t>1</t>
        </is>
      </c>
      <c r="O158" t="inlineStr">
        <is>
          <t>0</t>
        </is>
      </c>
      <c r="P158" t="inlineStr">
        <is>
          <t>0</t>
        </is>
      </c>
      <c r="Q158" t="inlineStr">
        <is>
          <t>1931</t>
        </is>
      </c>
      <c r="R158" t="inlineStr">
        <is>
          <t>0</t>
        </is>
      </c>
      <c r="S158" t="inlineStr">
        <is>
          <t>0</t>
        </is>
      </c>
      <c r="T158" t="inlineStr"/>
      <c r="U158" t="inlineStr"/>
      <c r="V158" t="inlineStr">
        <is>
          <t>22 MOM INGESTED 3 *** PILLS.</t>
        </is>
      </c>
      <c r="W158" t="inlineStr">
        <is>
          <t>S</t>
        </is>
      </c>
      <c r="X158" t="inlineStr">
        <is>
          <t>49</t>
        </is>
      </c>
      <c r="Y158" t="inlineStr">
        <is>
          <t>75.6618</t>
        </is>
      </c>
      <c r="Z158" t="n">
        <v>1</v>
      </c>
      <c r="AA158" t="n">
        <v>0</v>
      </c>
      <c r="AB158" t="inlineStr">
        <is>
          <t>No explicit mention of vitamin or dietary supplement; ingestion alone does not imply label=1</t>
        </is>
      </c>
    </row>
    <row r="159">
      <c r="A159" t="inlineStr">
        <is>
          <t>71036061</t>
        </is>
      </c>
      <c r="B159" t="inlineStr">
        <is>
          <t>2007-10-11 00:00:00</t>
        </is>
      </c>
      <c r="C159" t="inlineStr">
        <is>
          <t>4</t>
        </is>
      </c>
      <c r="D159" t="inlineStr">
        <is>
          <t>1</t>
        </is>
      </c>
      <c r="E159" t="inlineStr">
        <is>
          <t>1</t>
        </is>
      </c>
      <c r="F159" t="inlineStr"/>
      <c r="G159" t="inlineStr"/>
      <c r="H159" t="inlineStr">
        <is>
          <t>85</t>
        </is>
      </c>
      <c r="I159" t="inlineStr">
        <is>
          <t>68</t>
        </is>
      </c>
      <c r="J159" t="inlineStr"/>
      <c r="K159" t="inlineStr"/>
      <c r="L159" t="inlineStr"/>
      <c r="M159" t="inlineStr"/>
      <c r="N159" t="inlineStr">
        <is>
          <t>1</t>
        </is>
      </c>
      <c r="O159" t="inlineStr">
        <is>
          <t>0</t>
        </is>
      </c>
      <c r="P159" t="inlineStr">
        <is>
          <t>0</t>
        </is>
      </c>
      <c r="Q159" t="inlineStr">
        <is>
          <t>1931</t>
        </is>
      </c>
      <c r="R159" t="inlineStr">
        <is>
          <t>0</t>
        </is>
      </c>
      <c r="S159" t="inlineStr">
        <is>
          <t>0</t>
        </is>
      </c>
      <c r="T159" t="inlineStr"/>
      <c r="U159" t="inlineStr"/>
      <c r="V159" t="inlineStr">
        <is>
          <t>MOTHER FOUND EMPTY BOTTLE OF *** IN CAR,CHILD MAY HAVE INGESTEDPOSSIBLE INGESTION *</t>
        </is>
      </c>
      <c r="W159" t="inlineStr">
        <is>
          <t>V</t>
        </is>
      </c>
      <c r="X159" t="inlineStr">
        <is>
          <t>22</t>
        </is>
      </c>
      <c r="Y159" t="inlineStr">
        <is>
          <t>15.8664</t>
        </is>
      </c>
      <c r="Z159" t="n">
        <v>1</v>
      </c>
      <c r="AA159" t="n">
        <v>0</v>
      </c>
      <c r="AB159" t="inlineStr">
        <is>
          <t>No explicit mention of vitamin or dietary supplement; ingestion is possible but substance unknown.</t>
        </is>
      </c>
    </row>
    <row r="160">
      <c r="A160" t="inlineStr">
        <is>
          <t>170749507</t>
        </is>
      </c>
      <c r="B160" t="inlineStr">
        <is>
          <t>2017-07-14 00:00:00</t>
        </is>
      </c>
      <c r="C160" t="inlineStr">
        <is>
          <t>220</t>
        </is>
      </c>
      <c r="D160" t="inlineStr">
        <is>
          <t>1</t>
        </is>
      </c>
      <c r="E160" t="inlineStr">
        <is>
          <t>2</t>
        </is>
      </c>
      <c r="F160" t="inlineStr"/>
      <c r="G160" t="inlineStr"/>
      <c r="H160" t="inlineStr">
        <is>
          <t>85</t>
        </is>
      </c>
      <c r="I160" t="inlineStr">
        <is>
          <t>68</t>
        </is>
      </c>
      <c r="J160" t="inlineStr"/>
      <c r="K160" t="inlineStr"/>
      <c r="L160" t="inlineStr"/>
      <c r="M160" t="inlineStr"/>
      <c r="N160" t="inlineStr">
        <is>
          <t>1</t>
        </is>
      </c>
      <c r="O160" t="inlineStr">
        <is>
          <t>1</t>
        </is>
      </c>
      <c r="P160" t="inlineStr">
        <is>
          <t>0</t>
        </is>
      </c>
      <c r="Q160" t="inlineStr">
        <is>
          <t>1915</t>
        </is>
      </c>
      <c r="R160" t="inlineStr">
        <is>
          <t>1127</t>
        </is>
      </c>
      <c r="S160" t="inlineStr">
        <is>
          <t>0</t>
        </is>
      </c>
      <c r="T160" t="inlineStr"/>
      <c r="U160" t="inlineStr"/>
      <c r="V160" t="inlineStr">
        <is>
          <t>20MOM FOUND WITH EMPTY JAR OF BABY *** *** IN CRIB WITH *** AROUND MOUTH ON HANDS AND CRIB. NO SYMPTOMS. DX ACCIDENTAL INGESTION/</t>
        </is>
      </c>
      <c r="W160" t="inlineStr">
        <is>
          <t>C</t>
        </is>
      </c>
      <c r="X160" t="inlineStr">
        <is>
          <t>10</t>
        </is>
      </c>
      <c r="Y160" t="inlineStr">
        <is>
          <t>4.757</t>
        </is>
      </c>
      <c r="Z160" t="n">
        <v>0</v>
      </c>
      <c r="AA160" t="n">
        <v>0</v>
      </c>
      <c r="AB160" t="inlineStr">
        <is>
          <t>No explicit mention of a vitamin or supplement, and 'iron' is not mentioned.</t>
        </is>
      </c>
    </row>
    <row r="161">
      <c r="A161" t="inlineStr">
        <is>
          <t>90913897</t>
        </is>
      </c>
      <c r="B161" t="inlineStr">
        <is>
          <t>2009-08-27 00:00:00</t>
        </is>
      </c>
      <c r="C161" t="inlineStr">
        <is>
          <t>219</t>
        </is>
      </c>
      <c r="D161" t="inlineStr">
        <is>
          <t>2</t>
        </is>
      </c>
      <c r="E161" t="inlineStr">
        <is>
          <t>1</t>
        </is>
      </c>
      <c r="F161" t="inlineStr"/>
      <c r="G161" t="inlineStr"/>
      <c r="H161" t="inlineStr">
        <is>
          <t>85</t>
        </is>
      </c>
      <c r="I161" t="inlineStr">
        <is>
          <t>68</t>
        </is>
      </c>
      <c r="J161" t="inlineStr"/>
      <c r="K161" t="inlineStr"/>
      <c r="L161" t="inlineStr"/>
      <c r="M161" t="inlineStr"/>
      <c r="N161" t="inlineStr">
        <is>
          <t>1</t>
        </is>
      </c>
      <c r="O161" t="inlineStr">
        <is>
          <t>1</t>
        </is>
      </c>
      <c r="P161" t="inlineStr">
        <is>
          <t>0</t>
        </is>
      </c>
      <c r="Q161" t="inlineStr">
        <is>
          <t>954</t>
        </is>
      </c>
      <c r="R161" t="inlineStr">
        <is>
          <t>0</t>
        </is>
      </c>
      <c r="S161" t="inlineStr">
        <is>
          <t>0</t>
        </is>
      </c>
      <c r="T161" t="inlineStr"/>
      <c r="U161" t="inlineStr"/>
      <c r="V161" t="inlineStr">
        <is>
          <t>INGESTED UNKNOWN CLEANING PRODUCT WITH SIBLING;DX POISONING</t>
        </is>
      </c>
      <c r="W161" t="inlineStr">
        <is>
          <t>C</t>
        </is>
      </c>
      <c r="X161" t="inlineStr">
        <is>
          <t>20</t>
        </is>
      </c>
      <c r="Y161" t="inlineStr">
        <is>
          <t>6.026</t>
        </is>
      </c>
      <c r="Z161" t="n">
        <v>0</v>
      </c>
      <c r="AA161" t="n">
        <v>0</v>
      </c>
      <c r="AB161" t="inlineStr">
        <is>
          <t>Unknown substance mentioned, does not clearly indicate a vitamin or dietary supplement.</t>
        </is>
      </c>
    </row>
    <row r="162">
      <c r="A162" t="inlineStr">
        <is>
          <t>120634811</t>
        </is>
      </c>
      <c r="B162" t="inlineStr">
        <is>
          <t>2012-04-15 00:00:00</t>
        </is>
      </c>
      <c r="C162" t="inlineStr">
        <is>
          <t>2</t>
        </is>
      </c>
      <c r="D162" t="inlineStr">
        <is>
          <t>1</t>
        </is>
      </c>
      <c r="E162" t="inlineStr">
        <is>
          <t>0</t>
        </is>
      </c>
      <c r="F162" t="inlineStr"/>
      <c r="G162" t="inlineStr"/>
      <c r="H162" t="inlineStr">
        <is>
          <t>85</t>
        </is>
      </c>
      <c r="I162" t="inlineStr">
        <is>
          <t>68</t>
        </is>
      </c>
      <c r="J162" t="inlineStr"/>
      <c r="K162" t="inlineStr"/>
      <c r="L162" t="inlineStr"/>
      <c r="M162" t="inlineStr"/>
      <c r="N162" t="inlineStr">
        <is>
          <t>1</t>
        </is>
      </c>
      <c r="O162" t="inlineStr">
        <is>
          <t>1</t>
        </is>
      </c>
      <c r="P162" t="inlineStr">
        <is>
          <t>0</t>
        </is>
      </c>
      <c r="Q162" t="inlineStr">
        <is>
          <t>1931</t>
        </is>
      </c>
      <c r="R162" t="inlineStr">
        <is>
          <t>0</t>
        </is>
      </c>
      <c r="S162" t="inlineStr">
        <is>
          <t>0</t>
        </is>
      </c>
      <c r="T162" t="inlineStr"/>
      <c r="U162" t="inlineStr"/>
      <c r="V162" t="inlineStr">
        <is>
          <t>2YOM INGESTED 15MG OF ***, DX OVERDOSE</t>
        </is>
      </c>
      <c r="W162" t="inlineStr">
        <is>
          <t>C</t>
        </is>
      </c>
      <c r="X162" t="inlineStr">
        <is>
          <t>32</t>
        </is>
      </c>
      <c r="Y162" t="inlineStr">
        <is>
          <t>5.9179</t>
        </is>
      </c>
      <c r="Z162" t="n">
        <v>1</v>
      </c>
      <c r="AA162" t="n">
        <v>0</v>
      </c>
      <c r="AB162" t="inlineStr">
        <is>
          <t>Ingestion of *** implies unknown substance; no explicit mention of vitamin or dietary supplement.</t>
        </is>
      </c>
    </row>
    <row r="163">
      <c r="A163" t="inlineStr">
        <is>
          <t>211256132</t>
        </is>
      </c>
      <c r="B163" t="inlineStr">
        <is>
          <t>2021-12-26 00:00:00</t>
        </is>
      </c>
      <c r="C163" t="inlineStr">
        <is>
          <t>4</t>
        </is>
      </c>
      <c r="D163" t="inlineStr">
        <is>
          <t>2</t>
        </is>
      </c>
      <c r="E163" t="inlineStr">
        <is>
          <t>1</t>
        </is>
      </c>
      <c r="F163" t="inlineStr"/>
      <c r="G163" t="inlineStr">
        <is>
          <t>2</t>
        </is>
      </c>
      <c r="H163" t="inlineStr">
        <is>
          <t>85</t>
        </is>
      </c>
      <c r="I163" t="inlineStr">
        <is>
          <t>68</t>
        </is>
      </c>
      <c r="J163" t="inlineStr"/>
      <c r="K163" t="inlineStr"/>
      <c r="L163" t="inlineStr"/>
      <c r="M163" t="inlineStr"/>
      <c r="N163" t="inlineStr">
        <is>
          <t>1</t>
        </is>
      </c>
      <c r="O163" t="inlineStr">
        <is>
          <t>1</t>
        </is>
      </c>
      <c r="P163" t="inlineStr">
        <is>
          <t>0</t>
        </is>
      </c>
      <c r="Q163" t="inlineStr">
        <is>
          <t>1931</t>
        </is>
      </c>
      <c r="R163" t="inlineStr">
        <is>
          <t>0</t>
        </is>
      </c>
      <c r="S163" t="inlineStr">
        <is>
          <t>0</t>
        </is>
      </c>
      <c r="T163" t="inlineStr">
        <is>
          <t>0</t>
        </is>
      </c>
      <c r="U163" t="inlineStr">
        <is>
          <t>1</t>
        </is>
      </c>
      <c r="V163" t="inlineStr">
        <is>
          <t>4YOF HAS 5 ROUNDS OF VOMITING AFTER BEING AT FATHER'S HOUSE, MOTHER IS CONCERN THAT SHE GOT INTO SOME PILLS; CHILD DENIES PILLS DX: NON-INTRACTABLE VOMITING WITHOUT NAUSEA</t>
        </is>
      </c>
      <c r="W163" t="inlineStr">
        <is>
          <t>S</t>
        </is>
      </c>
      <c r="X163" t="inlineStr">
        <is>
          <t>46</t>
        </is>
      </c>
      <c r="Y163" t="inlineStr">
        <is>
          <t>73.542</t>
        </is>
      </c>
      <c r="Z163" t="n">
        <v>1</v>
      </c>
      <c r="AA163" t="n">
        <v>0</v>
      </c>
      <c r="AB163" t="inlineStr">
        <is>
          <t>No mention of vitamins or supplements in the narrative.</t>
        </is>
      </c>
    </row>
    <row r="164">
      <c r="A164" t="inlineStr">
        <is>
          <t>230370218</t>
        </is>
      </c>
      <c r="B164" t="inlineStr">
        <is>
          <t>2023-02-13 00:00:00</t>
        </is>
      </c>
      <c r="C164" t="inlineStr">
        <is>
          <t>2</t>
        </is>
      </c>
      <c r="D164" t="inlineStr">
        <is>
          <t>1</t>
        </is>
      </c>
      <c r="E164" t="inlineStr">
        <is>
          <t>2</t>
        </is>
      </c>
      <c r="F164" t="inlineStr"/>
      <c r="G164" t="inlineStr">
        <is>
          <t>2</t>
        </is>
      </c>
      <c r="H164" t="inlineStr">
        <is>
          <t>85</t>
        </is>
      </c>
      <c r="I164" t="inlineStr">
        <is>
          <t>68</t>
        </is>
      </c>
      <c r="J164" t="inlineStr"/>
      <c r="K164" t="inlineStr"/>
      <c r="L164" t="inlineStr"/>
      <c r="M164" t="inlineStr"/>
      <c r="N164" t="inlineStr">
        <is>
          <t>4</t>
        </is>
      </c>
      <c r="O164" t="inlineStr">
        <is>
          <t>1</t>
        </is>
      </c>
      <c r="P164" t="inlineStr">
        <is>
          <t>0</t>
        </is>
      </c>
      <c r="Q164" t="inlineStr">
        <is>
          <t>1931</t>
        </is>
      </c>
      <c r="R164" t="inlineStr">
        <is>
          <t>0</t>
        </is>
      </c>
      <c r="S164" t="inlineStr">
        <is>
          <t>0</t>
        </is>
      </c>
      <c r="T164" t="inlineStr">
        <is>
          <t>0</t>
        </is>
      </c>
      <c r="U164" t="inlineStr">
        <is>
          <t>1</t>
        </is>
      </c>
      <c r="V164" t="inlineStr">
        <is>
          <t>2YOM POSSIBLY INGESTED 15-20 OF MOM'S *** 15MG, C/O LETHARGY AND FATIGUE. DX: ACCIDENTAL DRUG INGESTION; SOMNOLENCE.</t>
        </is>
      </c>
      <c r="W164" t="inlineStr">
        <is>
          <t>C</t>
        </is>
      </c>
      <c r="X164" t="inlineStr">
        <is>
          <t>8</t>
        </is>
      </c>
      <c r="Y164" t="inlineStr">
        <is>
          <t>7.6092</t>
        </is>
      </c>
      <c r="Z164" t="n">
        <v>1</v>
      </c>
      <c r="AA164" t="n">
        <v>0</v>
      </c>
      <c r="AB164" t="inlineStr">
        <is>
          <t>No explicit mention of a vitamin or supplement, and 'iron' is not mentioned.</t>
        </is>
      </c>
    </row>
    <row r="165">
      <c r="A165" t="inlineStr">
        <is>
          <t>151226016</t>
        </is>
      </c>
      <c r="B165" t="inlineStr">
        <is>
          <t>2015-12-02 00:00:00</t>
        </is>
      </c>
      <c r="C165" t="inlineStr">
        <is>
          <t>2</t>
        </is>
      </c>
      <c r="D165" t="inlineStr">
        <is>
          <t>1</t>
        </is>
      </c>
      <c r="E165" t="inlineStr">
        <is>
          <t>0</t>
        </is>
      </c>
      <c r="F165" t="inlineStr"/>
      <c r="G165" t="inlineStr"/>
      <c r="H165" t="inlineStr">
        <is>
          <t>85</t>
        </is>
      </c>
      <c r="I165" t="inlineStr">
        <is>
          <t>68</t>
        </is>
      </c>
      <c r="J165" t="inlineStr"/>
      <c r="K165" t="inlineStr"/>
      <c r="L165" t="inlineStr"/>
      <c r="M165" t="inlineStr"/>
      <c r="N165" t="inlineStr">
        <is>
          <t>4</t>
        </is>
      </c>
      <c r="O165" t="inlineStr">
        <is>
          <t>0</t>
        </is>
      </c>
      <c r="P165" t="inlineStr">
        <is>
          <t>0</t>
        </is>
      </c>
      <c r="Q165" t="inlineStr">
        <is>
          <t>1931</t>
        </is>
      </c>
      <c r="R165" t="inlineStr">
        <is>
          <t>0</t>
        </is>
      </c>
      <c r="S165" t="inlineStr">
        <is>
          <t>0</t>
        </is>
      </c>
      <c r="T165" t="inlineStr"/>
      <c r="U165" t="inlineStr"/>
      <c r="V165" t="inlineStr">
        <is>
          <t>2 YO M WITH AN ACCIDENTAL INGESTION, NAME OF DRUG IN TABLET FORM CHILDTOOK NOT SPECIFIED - ADMITTED</t>
        </is>
      </c>
      <c r="W165" t="inlineStr">
        <is>
          <t>C</t>
        </is>
      </c>
      <c r="X165" t="inlineStr">
        <is>
          <t>37</t>
        </is>
      </c>
      <c r="Y165" t="inlineStr">
        <is>
          <t>4.9655</t>
        </is>
      </c>
      <c r="Z165" t="n">
        <v>1</v>
      </c>
      <c r="AA165" t="n">
        <v>0</v>
      </c>
      <c r="AB165" t="inlineStr">
        <is>
          <t>No mention of vitamin or dietary supplement; ingestion is accidental but substance not specified.</t>
        </is>
      </c>
    </row>
    <row r="166">
      <c r="A166" t="inlineStr">
        <is>
          <t>170456282</t>
        </is>
      </c>
      <c r="B166" t="inlineStr">
        <is>
          <t>2017-04-22 00:00:00</t>
        </is>
      </c>
      <c r="C166" t="inlineStr">
        <is>
          <t>3</t>
        </is>
      </c>
      <c r="D166" t="inlineStr">
        <is>
          <t>1</t>
        </is>
      </c>
      <c r="E166" t="inlineStr">
        <is>
          <t>1</t>
        </is>
      </c>
      <c r="F166" t="inlineStr"/>
      <c r="G166" t="inlineStr"/>
      <c r="H166" t="inlineStr">
        <is>
          <t>85</t>
        </is>
      </c>
      <c r="I166" t="inlineStr">
        <is>
          <t>68</t>
        </is>
      </c>
      <c r="J166" t="inlineStr"/>
      <c r="K166" t="inlineStr"/>
      <c r="L166" t="inlineStr"/>
      <c r="M166" t="inlineStr"/>
      <c r="N166" t="inlineStr">
        <is>
          <t>1</t>
        </is>
      </c>
      <c r="O166" t="inlineStr">
        <is>
          <t>1</t>
        </is>
      </c>
      <c r="P166" t="inlineStr">
        <is>
          <t>0</t>
        </is>
      </c>
      <c r="Q166" t="inlineStr">
        <is>
          <t>1930</t>
        </is>
      </c>
      <c r="R166" t="inlineStr">
        <is>
          <t>0</t>
        </is>
      </c>
      <c r="S166" t="inlineStr">
        <is>
          <t>0</t>
        </is>
      </c>
      <c r="T166" t="inlineStr"/>
      <c r="U166" t="inlineStr"/>
      <c r="V166" t="inlineStr">
        <is>
          <t>3 YOM MOTHER STATES CHILD WAS WITH A BABYSITTER WHEN SHE CAME HOMEFOUNDCHILD WITH BOTTLE OF CHILDRENS *** DX ACCIDENTAL OVERDOSE</t>
        </is>
      </c>
      <c r="W166" t="inlineStr">
        <is>
          <t>M</t>
        </is>
      </c>
      <c r="X166" t="inlineStr">
        <is>
          <t>16</t>
        </is>
      </c>
      <c r="Y166" t="inlineStr">
        <is>
          <t>79.1731</t>
        </is>
      </c>
      <c r="Z166" t="n">
        <v>0</v>
      </c>
      <c r="AA166" t="n">
        <v>0</v>
      </c>
      <c r="AB166" t="inlineStr">
        <is>
          <t>No explicit mention of a vitamin or supplement, and the substance is unknown.</t>
        </is>
      </c>
    </row>
    <row r="167">
      <c r="A167" t="inlineStr">
        <is>
          <t>100653966</t>
        </is>
      </c>
      <c r="B167" t="inlineStr">
        <is>
          <t>2010-06-07 00:00:00</t>
        </is>
      </c>
      <c r="C167" t="inlineStr">
        <is>
          <t>217</t>
        </is>
      </c>
      <c r="D167" t="inlineStr">
        <is>
          <t>2</t>
        </is>
      </c>
      <c r="E167" t="inlineStr">
        <is>
          <t>0</t>
        </is>
      </c>
      <c r="F167" t="inlineStr"/>
      <c r="G167" t="inlineStr"/>
      <c r="H167" t="inlineStr">
        <is>
          <t>85</t>
        </is>
      </c>
      <c r="I167" t="inlineStr">
        <is>
          <t>68</t>
        </is>
      </c>
      <c r="J167" t="inlineStr"/>
      <c r="K167" t="inlineStr"/>
      <c r="L167" t="inlineStr"/>
      <c r="M167" t="inlineStr"/>
      <c r="N167" t="inlineStr">
        <is>
          <t>1</t>
        </is>
      </c>
      <c r="O167" t="inlineStr">
        <is>
          <t>1</t>
        </is>
      </c>
      <c r="P167" t="inlineStr">
        <is>
          <t>0</t>
        </is>
      </c>
      <c r="Q167" t="inlineStr">
        <is>
          <t>956</t>
        </is>
      </c>
      <c r="R167" t="inlineStr">
        <is>
          <t>0</t>
        </is>
      </c>
      <c r="S167" t="inlineStr">
        <is>
          <t>0</t>
        </is>
      </c>
      <c r="T167" t="inlineStr"/>
      <c r="U167" t="inlineStr"/>
      <c r="V167" t="inlineStr">
        <is>
          <t>17 MONTH F GOT INTO BLEACH AND MAY HAVE DRANK SOME - STABLE AT D/C</t>
        </is>
      </c>
      <c r="W167" t="inlineStr">
        <is>
          <t>C</t>
        </is>
      </c>
      <c r="X167" t="inlineStr">
        <is>
          <t>37</t>
        </is>
      </c>
      <c r="Y167" t="inlineStr">
        <is>
          <t>5.3312</t>
        </is>
      </c>
      <c r="Z167" t="n">
        <v>0</v>
      </c>
      <c r="AA167" t="n">
        <v>0</v>
      </c>
      <c r="AB167" t="inlineStr">
        <is>
          <t>Bleach is a household chemical, not a supplement.</t>
        </is>
      </c>
    </row>
    <row r="168">
      <c r="A168" t="inlineStr">
        <is>
          <t>70334376</t>
        </is>
      </c>
      <c r="B168" t="inlineStr">
        <is>
          <t>2007-03-09 00:00:00</t>
        </is>
      </c>
      <c r="C168" t="inlineStr">
        <is>
          <t>2</t>
        </is>
      </c>
      <c r="D168" t="inlineStr">
        <is>
          <t>2</t>
        </is>
      </c>
      <c r="E168" t="inlineStr">
        <is>
          <t>1</t>
        </is>
      </c>
      <c r="F168" t="inlineStr"/>
      <c r="G168" t="inlineStr"/>
      <c r="H168" t="inlineStr">
        <is>
          <t>85</t>
        </is>
      </c>
      <c r="I168" t="inlineStr">
        <is>
          <t>68</t>
        </is>
      </c>
      <c r="J168" t="inlineStr"/>
      <c r="K168" t="inlineStr"/>
      <c r="L168" t="inlineStr"/>
      <c r="M168" t="inlineStr"/>
      <c r="N168" t="inlineStr">
        <is>
          <t>1</t>
        </is>
      </c>
      <c r="O168" t="inlineStr">
        <is>
          <t>1</t>
        </is>
      </c>
      <c r="P168" t="inlineStr">
        <is>
          <t>0</t>
        </is>
      </c>
      <c r="Q168" t="inlineStr">
        <is>
          <t>1931</t>
        </is>
      </c>
      <c r="R168" t="inlineStr">
        <is>
          <t>0</t>
        </is>
      </c>
      <c r="S168" t="inlineStr">
        <is>
          <t>0</t>
        </is>
      </c>
      <c r="T168" t="inlineStr"/>
      <c r="U168" t="inlineStr"/>
      <c r="V168" t="inlineStr">
        <is>
          <t>INGESTED AN UNKNOWN PILL, DX; ACCIDENTAL INGESTION</t>
        </is>
      </c>
      <c r="W168" t="inlineStr">
        <is>
          <t>S</t>
        </is>
      </c>
      <c r="X168" t="inlineStr">
        <is>
          <t>92</t>
        </is>
      </c>
      <c r="Y168" t="inlineStr">
        <is>
          <t>70.1094</t>
        </is>
      </c>
      <c r="Z168" t="n">
        <v>1</v>
      </c>
      <c r="AA168" t="n">
        <v>0</v>
      </c>
      <c r="AB168" t="inlineStr">
        <is>
          <t>Unknown substance ingested, does not explicitly mention vitamin or dietary supplement</t>
        </is>
      </c>
    </row>
    <row r="169">
      <c r="A169" t="inlineStr">
        <is>
          <t>40219940</t>
        </is>
      </c>
      <c r="B169" t="inlineStr">
        <is>
          <t>2004-02-06 00:00:00</t>
        </is>
      </c>
      <c r="C169" t="inlineStr">
        <is>
          <t>62</t>
        </is>
      </c>
      <c r="D169" t="inlineStr">
        <is>
          <t>2</t>
        </is>
      </c>
      <c r="E169" t="inlineStr">
        <is>
          <t>0</t>
        </is>
      </c>
      <c r="F169" t="inlineStr"/>
      <c r="G169" t="inlineStr"/>
      <c r="H169" t="inlineStr">
        <is>
          <t>85</t>
        </is>
      </c>
      <c r="I169" t="inlineStr">
        <is>
          <t>68</t>
        </is>
      </c>
      <c r="J169" t="inlineStr"/>
      <c r="K169" t="inlineStr"/>
      <c r="L169" t="inlineStr"/>
      <c r="M169" t="inlineStr"/>
      <c r="N169" t="inlineStr">
        <is>
          <t>4</t>
        </is>
      </c>
      <c r="O169" t="inlineStr">
        <is>
          <t>5</t>
        </is>
      </c>
      <c r="P169" t="inlineStr">
        <is>
          <t>0</t>
        </is>
      </c>
      <c r="Q169" t="inlineStr">
        <is>
          <t>1807</t>
        </is>
      </c>
      <c r="R169" t="inlineStr">
        <is>
          <t>0</t>
        </is>
      </c>
      <c r="S169" t="inlineStr">
        <is>
          <t>0</t>
        </is>
      </c>
      <c r="T169" t="inlineStr"/>
      <c r="U169" t="inlineStr"/>
      <c r="V169" t="inlineStr">
        <is>
          <t>HOMELESS, WANDERD INTO HOSPITAL TO FLOOR NEAR MAIN LOBBY LOC X3 MIN DXETOH INTOXICATION</t>
        </is>
      </c>
      <c r="W169" t="inlineStr">
        <is>
          <t>V</t>
        </is>
      </c>
      <c r="X169" t="inlineStr">
        <is>
          <t>91</t>
        </is>
      </c>
      <c r="Y169" t="inlineStr">
        <is>
          <t>16.7808</t>
        </is>
      </c>
      <c r="Z169" t="n">
        <v>0</v>
      </c>
      <c r="AA169" t="n">
        <v>0</v>
      </c>
      <c r="AB169" t="inlineStr">
        <is>
          <t>No mention of vitamins or supplements; ingestion is to unknown substance.</t>
        </is>
      </c>
    </row>
    <row r="170">
      <c r="A170" t="inlineStr">
        <is>
          <t>140750490</t>
        </is>
      </c>
      <c r="B170" t="inlineStr">
        <is>
          <t>2014-07-19 00:00:00</t>
        </is>
      </c>
      <c r="C170" t="inlineStr">
        <is>
          <t>2</t>
        </is>
      </c>
      <c r="D170" t="inlineStr">
        <is>
          <t>1</t>
        </is>
      </c>
      <c r="E170" t="inlineStr">
        <is>
          <t>1</t>
        </is>
      </c>
      <c r="F170" t="inlineStr"/>
      <c r="G170" t="inlineStr"/>
      <c r="H170" t="inlineStr">
        <is>
          <t>85</t>
        </is>
      </c>
      <c r="I170" t="inlineStr">
        <is>
          <t>68</t>
        </is>
      </c>
      <c r="J170" t="inlineStr"/>
      <c r="K170" t="inlineStr"/>
      <c r="L170" t="inlineStr"/>
      <c r="M170" t="inlineStr"/>
      <c r="N170" t="inlineStr">
        <is>
          <t>1</t>
        </is>
      </c>
      <c r="O170" t="inlineStr">
        <is>
          <t>1</t>
        </is>
      </c>
      <c r="P170" t="inlineStr">
        <is>
          <t>0</t>
        </is>
      </c>
      <c r="Q170" t="inlineStr">
        <is>
          <t>1931</t>
        </is>
      </c>
      <c r="R170" t="inlineStr">
        <is>
          <t>0</t>
        </is>
      </c>
      <c r="S170" t="inlineStr">
        <is>
          <t>0</t>
        </is>
      </c>
      <c r="T170" t="inlineStr"/>
      <c r="U170" t="inlineStr"/>
      <c r="V170" t="inlineStr">
        <is>
          <t>2YOM INGESTED 0.25MG CLONAZEPAM WHEN MOM LEFT THE ROOM</t>
        </is>
      </c>
      <c r="W170" t="inlineStr">
        <is>
          <t>C</t>
        </is>
      </c>
      <c r="X170" t="inlineStr">
        <is>
          <t>18</t>
        </is>
      </c>
      <c r="Y170" t="inlineStr">
        <is>
          <t>5.7174</t>
        </is>
      </c>
      <c r="Z170" t="n">
        <v>1</v>
      </c>
      <c r="AA170" t="n">
        <v>0</v>
      </c>
      <c r="AB170" t="inlineStr">
        <is>
          <t>No mention of vitamin or dietary supplement; mentions prescription medication 'clonazepam'.</t>
        </is>
      </c>
    </row>
    <row r="171">
      <c r="A171" t="inlineStr">
        <is>
          <t>40649029</t>
        </is>
      </c>
      <c r="B171" t="inlineStr">
        <is>
          <t>2004-06-13 00:00:00</t>
        </is>
      </c>
      <c r="C171" t="inlineStr">
        <is>
          <t>217</t>
        </is>
      </c>
      <c r="D171" t="inlineStr">
        <is>
          <t>2</t>
        </is>
      </c>
      <c r="E171" t="inlineStr">
        <is>
          <t>0</t>
        </is>
      </c>
      <c r="F171" t="inlineStr"/>
      <c r="G171" t="inlineStr"/>
      <c r="H171" t="inlineStr">
        <is>
          <t>85</t>
        </is>
      </c>
      <c r="I171" t="inlineStr">
        <is>
          <t>68</t>
        </is>
      </c>
      <c r="J171" t="inlineStr"/>
      <c r="K171" t="inlineStr"/>
      <c r="L171" t="inlineStr"/>
      <c r="M171" t="inlineStr"/>
      <c r="N171" t="inlineStr">
        <is>
          <t>1</t>
        </is>
      </c>
      <c r="O171" t="inlineStr">
        <is>
          <t>1</t>
        </is>
      </c>
      <c r="P171" t="inlineStr">
        <is>
          <t>0</t>
        </is>
      </c>
      <c r="Q171" t="inlineStr">
        <is>
          <t>1915</t>
        </is>
      </c>
      <c r="R171" t="inlineStr">
        <is>
          <t>0</t>
        </is>
      </c>
      <c r="S171" t="inlineStr">
        <is>
          <t>0</t>
        </is>
      </c>
      <c r="T171" t="inlineStr"/>
      <c r="U171" t="inlineStr"/>
      <c r="V171" t="inlineStr">
        <is>
          <t>INGESTED RUBBING ALCHOHOL</t>
        </is>
      </c>
      <c r="W171" t="inlineStr">
        <is>
          <t>C</t>
        </is>
      </c>
      <c r="X171" t="inlineStr">
        <is>
          <t>20</t>
        </is>
      </c>
      <c r="Y171" t="inlineStr">
        <is>
          <t>6.3776</t>
        </is>
      </c>
      <c r="Z171" t="n">
        <v>0</v>
      </c>
      <c r="AA171" t="n">
        <v>0</v>
      </c>
      <c r="AB171" t="inlineStr">
        <is>
          <t>RUBBING ALCHOHOL is a household chemical/toxin, not a vitamin/supplement.</t>
        </is>
      </c>
    </row>
    <row r="172">
      <c r="A172" t="inlineStr">
        <is>
          <t>110103433</t>
        </is>
      </c>
      <c r="B172" t="inlineStr">
        <is>
          <t>2010-12-21 00:00:00</t>
        </is>
      </c>
      <c r="C172" t="inlineStr">
        <is>
          <t>20</t>
        </is>
      </c>
      <c r="D172" t="inlineStr">
        <is>
          <t>2</t>
        </is>
      </c>
      <c r="E172" t="inlineStr">
        <is>
          <t>2</t>
        </is>
      </c>
      <c r="F172" t="inlineStr"/>
      <c r="G172" t="inlineStr"/>
      <c r="H172" t="inlineStr">
        <is>
          <t>85</t>
        </is>
      </c>
      <c r="I172" t="inlineStr">
        <is>
          <t>68</t>
        </is>
      </c>
      <c r="J172" t="inlineStr"/>
      <c r="K172" t="inlineStr"/>
      <c r="L172" t="inlineStr"/>
      <c r="M172" t="inlineStr"/>
      <c r="N172" t="inlineStr">
        <is>
          <t>1</t>
        </is>
      </c>
      <c r="O172" t="inlineStr">
        <is>
          <t>1</t>
        </is>
      </c>
      <c r="P172" t="inlineStr">
        <is>
          <t>0</t>
        </is>
      </c>
      <c r="Q172" t="inlineStr">
        <is>
          <t>1898</t>
        </is>
      </c>
      <c r="R172" t="inlineStr">
        <is>
          <t>0</t>
        </is>
      </c>
      <c r="S172" t="inlineStr">
        <is>
          <t>0</t>
        </is>
      </c>
      <c r="T172" t="inlineStr"/>
      <c r="U172" t="inlineStr"/>
      <c r="V172" t="inlineStr">
        <is>
          <t>20 YOF EXPOSED TO GAS VAPORS AT HOME</t>
        </is>
      </c>
      <c r="W172" t="inlineStr">
        <is>
          <t>V</t>
        </is>
      </c>
      <c r="X172" t="inlineStr">
        <is>
          <t>26</t>
        </is>
      </c>
      <c r="Y172" t="inlineStr">
        <is>
          <t>17.2875</t>
        </is>
      </c>
      <c r="Z172" t="n">
        <v>0</v>
      </c>
      <c r="AA172" t="n">
        <v>0</v>
      </c>
      <c r="AB172" t="inlineStr">
        <is>
          <t>No mention of vitamin or dietary supplement ingestion/exposure</t>
        </is>
      </c>
    </row>
    <row r="173">
      <c r="A173" t="inlineStr">
        <is>
          <t>230318977</t>
        </is>
      </c>
      <c r="B173" t="inlineStr">
        <is>
          <t>2023-03-04 00:00:00</t>
        </is>
      </c>
      <c r="C173" t="inlineStr">
        <is>
          <t>216</t>
        </is>
      </c>
      <c r="D173" t="inlineStr">
        <is>
          <t>2</t>
        </is>
      </c>
      <c r="E173" t="inlineStr">
        <is>
          <t>1</t>
        </is>
      </c>
      <c r="F173" t="inlineStr"/>
      <c r="G173" t="inlineStr">
        <is>
          <t>1</t>
        </is>
      </c>
      <c r="H173" t="inlineStr">
        <is>
          <t>85</t>
        </is>
      </c>
      <c r="I173" t="inlineStr">
        <is>
          <t>68</t>
        </is>
      </c>
      <c r="J173" t="inlineStr"/>
      <c r="K173" t="inlineStr"/>
      <c r="L173" t="inlineStr"/>
      <c r="M173" t="inlineStr"/>
      <c r="N173" t="inlineStr">
        <is>
          <t>1</t>
        </is>
      </c>
      <c r="O173" t="inlineStr">
        <is>
          <t>1</t>
        </is>
      </c>
      <c r="P173" t="inlineStr">
        <is>
          <t>0</t>
        </is>
      </c>
      <c r="Q173" t="inlineStr">
        <is>
          <t>954</t>
        </is>
      </c>
      <c r="R173" t="inlineStr">
        <is>
          <t>0</t>
        </is>
      </c>
      <c r="S173" t="inlineStr">
        <is>
          <t>0</t>
        </is>
      </c>
      <c r="T173" t="inlineStr">
        <is>
          <t>0</t>
        </is>
      </c>
      <c r="U173" t="inlineStr">
        <is>
          <t>0</t>
        </is>
      </c>
      <c r="V173" t="inlineStr">
        <is>
          <t>16MOF INGESTED A *** FRESH GEL TOILET CLEANING STAMP STATES THROAT BURNING DX: INGESTION OF A CORROSIVE CHEMICAL</t>
        </is>
      </c>
      <c r="W173" t="inlineStr">
        <is>
          <t>V</t>
        </is>
      </c>
      <c r="X173" t="inlineStr">
        <is>
          <t>21</t>
        </is>
      </c>
      <c r="Y173" t="inlineStr">
        <is>
          <t>16.5988</t>
        </is>
      </c>
      <c r="Z173" t="n">
        <v>0</v>
      </c>
      <c r="AA173" t="n">
        <v>0</v>
      </c>
      <c r="AB173" t="inlineStr">
        <is>
          <t>Toilet cleaning stamp indicates ingestion of a corrosive chemical, not a supplement.</t>
        </is>
      </c>
    </row>
    <row r="174">
      <c r="A174" t="inlineStr">
        <is>
          <t>160845379</t>
        </is>
      </c>
      <c r="B174" t="inlineStr">
        <is>
          <t>2016-08-15 00:00:00</t>
        </is>
      </c>
      <c r="C174" t="inlineStr">
        <is>
          <t>223</t>
        </is>
      </c>
      <c r="D174" t="inlineStr">
        <is>
          <t>1</t>
        </is>
      </c>
      <c r="E174" t="inlineStr">
        <is>
          <t>2</t>
        </is>
      </c>
      <c r="F174" t="inlineStr">
        <is>
          <t>SOMALI</t>
        </is>
      </c>
      <c r="G174" t="inlineStr"/>
      <c r="H174" t="inlineStr">
        <is>
          <t>85</t>
        </is>
      </c>
      <c r="I174" t="inlineStr">
        <is>
          <t>68</t>
        </is>
      </c>
      <c r="J174" t="inlineStr"/>
      <c r="K174" t="inlineStr"/>
      <c r="L174" t="inlineStr"/>
      <c r="M174" t="inlineStr"/>
      <c r="N174" t="inlineStr">
        <is>
          <t>1</t>
        </is>
      </c>
      <c r="O174" t="inlineStr">
        <is>
          <t>1</t>
        </is>
      </c>
      <c r="P174" t="inlineStr">
        <is>
          <t>0</t>
        </is>
      </c>
      <c r="Q174" t="inlineStr">
        <is>
          <t>1913</t>
        </is>
      </c>
      <c r="R174" t="inlineStr">
        <is>
          <t>1135</t>
        </is>
      </c>
      <c r="S174" t="inlineStr">
        <is>
          <t>0</t>
        </is>
      </c>
      <c r="T174" t="inlineStr"/>
      <c r="U174" t="inlineStr"/>
      <c r="V174" t="inlineStr">
        <is>
          <t>23MOM SWALLOWED *** SHAMPOO, APPROX 5-15ML LUXURIOUS MOISTURE &amp; VITAMINE, PUMP TYPE BOTTLE IN BATHROOM; INGESTION</t>
        </is>
      </c>
      <c r="W174" t="inlineStr">
        <is>
          <t>C</t>
        </is>
      </c>
      <c r="X174" t="inlineStr">
        <is>
          <t>8</t>
        </is>
      </c>
      <c r="Y174" t="inlineStr">
        <is>
          <t>4.5056</t>
        </is>
      </c>
      <c r="Z174" t="n">
        <v>0</v>
      </c>
      <c r="AA174" t="n">
        <v>0</v>
      </c>
      <c r="AB174" t="inlineStr">
        <is>
          <t>Mentions 'shampoo' which is a household chemical, not a supplement.</t>
        </is>
      </c>
    </row>
    <row r="175">
      <c r="A175" t="inlineStr">
        <is>
          <t>221228813</t>
        </is>
      </c>
      <c r="B175" t="inlineStr">
        <is>
          <t>2022-12-07 00:00:00</t>
        </is>
      </c>
      <c r="C175" t="inlineStr">
        <is>
          <t>3</t>
        </is>
      </c>
      <c r="D175" t="inlineStr">
        <is>
          <t>2</t>
        </is>
      </c>
      <c r="E175" t="inlineStr">
        <is>
          <t>0</t>
        </is>
      </c>
      <c r="F175" t="inlineStr"/>
      <c r="G175" t="inlineStr">
        <is>
          <t>2</t>
        </is>
      </c>
      <c r="H175" t="inlineStr">
        <is>
          <t>85</t>
        </is>
      </c>
      <c r="I175" t="inlineStr">
        <is>
          <t>68</t>
        </is>
      </c>
      <c r="J175" t="inlineStr"/>
      <c r="K175" t="inlineStr"/>
      <c r="L175" t="inlineStr"/>
      <c r="M175" t="inlineStr"/>
      <c r="N175" t="inlineStr">
        <is>
          <t>1</t>
        </is>
      </c>
      <c r="O175" t="inlineStr">
        <is>
          <t>5</t>
        </is>
      </c>
      <c r="P175" t="inlineStr">
        <is>
          <t>0</t>
        </is>
      </c>
      <c r="Q175" t="inlineStr">
        <is>
          <t>1659</t>
        </is>
      </c>
      <c r="R175" t="inlineStr">
        <is>
          <t>1913</t>
        </is>
      </c>
      <c r="S175" t="inlineStr">
        <is>
          <t>0</t>
        </is>
      </c>
      <c r="T175" t="inlineStr">
        <is>
          <t>0</t>
        </is>
      </c>
      <c r="U175" t="inlineStr">
        <is>
          <t>0</t>
        </is>
      </c>
      <c r="V175" t="inlineStr">
        <is>
          <t>3YOF SUCKED ON A COTTON BALL SOAKED IN PEPPERMINT OIL--DX:ACCIDENTAL DRUG INGESTION</t>
        </is>
      </c>
      <c r="W175" t="inlineStr">
        <is>
          <t>V</t>
        </is>
      </c>
      <c r="X175" t="inlineStr">
        <is>
          <t>17</t>
        </is>
      </c>
      <c r="Y175" t="inlineStr">
        <is>
          <t>21.8149</t>
        </is>
      </c>
      <c r="Z175" t="n">
        <v>0</v>
      </c>
      <c r="AA175" t="n">
        <v>0</v>
      </c>
      <c r="AB175" t="inlineStr">
        <is>
          <t>No mention of vitamins or supplements, and peppermint oil is a household chemical.</t>
        </is>
      </c>
    </row>
    <row r="176">
      <c r="A176" t="inlineStr">
        <is>
          <t>170451758</t>
        </is>
      </c>
      <c r="B176" t="inlineStr">
        <is>
          <t>2017-04-10 00:00:00</t>
        </is>
      </c>
      <c r="C176" t="inlineStr">
        <is>
          <t>3</t>
        </is>
      </c>
      <c r="D176" t="inlineStr">
        <is>
          <t>1</t>
        </is>
      </c>
      <c r="E176" t="inlineStr">
        <is>
          <t>3</t>
        </is>
      </c>
      <c r="F176" t="inlineStr">
        <is>
          <t>MULTI-RACIAL</t>
        </is>
      </c>
      <c r="G176" t="inlineStr"/>
      <c r="H176" t="inlineStr">
        <is>
          <t>85</t>
        </is>
      </c>
      <c r="I176" t="inlineStr">
        <is>
          <t>68</t>
        </is>
      </c>
      <c r="J176" t="inlineStr"/>
      <c r="K176" t="inlineStr"/>
      <c r="L176" t="inlineStr"/>
      <c r="M176" t="inlineStr"/>
      <c r="N176" t="inlineStr">
        <is>
          <t>4</t>
        </is>
      </c>
      <c r="O176" t="inlineStr">
        <is>
          <t>0</t>
        </is>
      </c>
      <c r="P176" t="inlineStr">
        <is>
          <t>0</t>
        </is>
      </c>
      <c r="Q176" t="inlineStr">
        <is>
          <t>1932</t>
        </is>
      </c>
      <c r="R176" t="inlineStr">
        <is>
          <t>0</t>
        </is>
      </c>
      <c r="S176" t="inlineStr">
        <is>
          <t>0</t>
        </is>
      </c>
      <c r="T176" t="inlineStr"/>
      <c r="U176" t="inlineStr"/>
      <c r="V176" t="inlineStr">
        <is>
          <t>3YOM WITH ALTERED MENTAL STATUS FOLLOWING A BEE STING, HE WAS POSITIVEFOR OPIATES IN THE ED; ACCIDENTAL DRUG INGESTION, OPIOID INTOXICATION</t>
        </is>
      </c>
      <c r="W176" t="inlineStr">
        <is>
          <t>C</t>
        </is>
      </c>
      <c r="X176" t="inlineStr">
        <is>
          <t>8</t>
        </is>
      </c>
      <c r="Y176" t="inlineStr">
        <is>
          <t>4.757</t>
        </is>
      </c>
      <c r="Z176" t="n">
        <v>1</v>
      </c>
      <c r="AA176" t="n">
        <v>0</v>
      </c>
      <c r="AB176" t="inlineStr">
        <is>
          <t>No mention of vitamins or dietary supplements.</t>
        </is>
      </c>
    </row>
    <row r="177">
      <c r="A177" t="inlineStr">
        <is>
          <t>170454904</t>
        </is>
      </c>
      <c r="B177" t="inlineStr">
        <is>
          <t>2017-02-25 00:00:00</t>
        </is>
      </c>
      <c r="C177" t="inlineStr">
        <is>
          <t>223</t>
        </is>
      </c>
      <c r="D177" t="inlineStr">
        <is>
          <t>2</t>
        </is>
      </c>
      <c r="E177" t="inlineStr">
        <is>
          <t>2</t>
        </is>
      </c>
      <c r="F177" t="inlineStr"/>
      <c r="G177" t="inlineStr"/>
      <c r="H177" t="inlineStr">
        <is>
          <t>85</t>
        </is>
      </c>
      <c r="I177" t="inlineStr">
        <is>
          <t>68</t>
        </is>
      </c>
      <c r="J177" t="inlineStr"/>
      <c r="K177" t="inlineStr"/>
      <c r="L177" t="inlineStr"/>
      <c r="M177" t="inlineStr"/>
      <c r="N177" t="inlineStr">
        <is>
          <t>4</t>
        </is>
      </c>
      <c r="O177" t="inlineStr">
        <is>
          <t>1</t>
        </is>
      </c>
      <c r="P177" t="inlineStr">
        <is>
          <t>0</t>
        </is>
      </c>
      <c r="Q177" t="inlineStr">
        <is>
          <t>1931</t>
        </is>
      </c>
      <c r="R177" t="inlineStr">
        <is>
          <t>1141</t>
        </is>
      </c>
      <c r="S177" t="inlineStr">
        <is>
          <t>0</t>
        </is>
      </c>
      <c r="T177" t="inlineStr"/>
      <c r="U177" t="inlineStr"/>
      <c r="V177" t="inlineStr">
        <is>
          <t>23MOF GOT INTO GRANDFATHERS PILL BOX IN DRESSER,6 PILLS MISSING,BOX HAD***,***,***,***,OTHERS; DX DRUG INGESTION</t>
        </is>
      </c>
      <c r="W177" t="inlineStr">
        <is>
          <t>C</t>
        </is>
      </c>
      <c r="X177" t="inlineStr">
        <is>
          <t>20</t>
        </is>
      </c>
      <c r="Y177" t="inlineStr">
        <is>
          <t>4.757</t>
        </is>
      </c>
      <c r="Z177" t="n">
        <v>1</v>
      </c>
      <c r="AA177" t="n">
        <v>0</v>
      </c>
      <c r="AB177" t="inlineStr">
        <is>
          <t>Mentions 'drug ingestion' which is not a specific supplement/vitamin, and does not exclude iron.</t>
        </is>
      </c>
    </row>
    <row r="178">
      <c r="A178" t="inlineStr">
        <is>
          <t>61049127</t>
        </is>
      </c>
      <c r="B178" t="inlineStr">
        <is>
          <t>2006-10-22 00:00:00</t>
        </is>
      </c>
      <c r="C178" t="inlineStr">
        <is>
          <t>221</t>
        </is>
      </c>
      <c r="D178" t="inlineStr">
        <is>
          <t>1</t>
        </is>
      </c>
      <c r="E178" t="inlineStr">
        <is>
          <t>0</t>
        </is>
      </c>
      <c r="F178" t="inlineStr"/>
      <c r="G178" t="inlineStr"/>
      <c r="H178" t="inlineStr">
        <is>
          <t>85</t>
        </is>
      </c>
      <c r="I178" t="inlineStr">
        <is>
          <t>68</t>
        </is>
      </c>
      <c r="J178" t="inlineStr"/>
      <c r="K178" t="inlineStr"/>
      <c r="L178" t="inlineStr"/>
      <c r="M178" t="inlineStr"/>
      <c r="N178" t="inlineStr">
        <is>
          <t>5</t>
        </is>
      </c>
      <c r="O178" t="inlineStr">
        <is>
          <t>0</t>
        </is>
      </c>
      <c r="P178" t="inlineStr">
        <is>
          <t>0</t>
        </is>
      </c>
      <c r="Q178" t="inlineStr">
        <is>
          <t>1931</t>
        </is>
      </c>
      <c r="R178" t="inlineStr">
        <is>
          <t>1135</t>
        </is>
      </c>
      <c r="S178" t="inlineStr">
        <is>
          <t>0</t>
        </is>
      </c>
      <c r="T178" t="inlineStr"/>
      <c r="U178" t="inlineStr"/>
      <c r="V178" t="inlineStr">
        <is>
          <t>PT WAS FOUND WITH BOTTLE OF *** PILLS- PT SPIT SOME PILLS OUT.DX ACCIDENTAL INGESTION OF *** PILLS.</t>
        </is>
      </c>
      <c r="W178" t="inlineStr">
        <is>
          <t>C</t>
        </is>
      </c>
      <c r="X178" t="inlineStr">
        <is>
          <t>90</t>
        </is>
      </c>
      <c r="Y178" t="inlineStr">
        <is>
          <t>6.1438</t>
        </is>
      </c>
      <c r="Z178" t="n">
        <v>1</v>
      </c>
      <c r="AA178" t="n">
        <v>0</v>
      </c>
      <c r="AB178" t="inlineStr">
        <is>
          <t>Mentions '*** pills' without specifying a supplement or medication, so defaulting to label=0.</t>
        </is>
      </c>
    </row>
    <row r="179">
      <c r="A179" t="inlineStr">
        <is>
          <t>101125216</t>
        </is>
      </c>
      <c r="B179" t="inlineStr">
        <is>
          <t>2010-11-06 00:00:00</t>
        </is>
      </c>
      <c r="C179" t="inlineStr">
        <is>
          <t>2</t>
        </is>
      </c>
      <c r="D179" t="inlineStr">
        <is>
          <t>1</t>
        </is>
      </c>
      <c r="E179" t="inlineStr">
        <is>
          <t>0</t>
        </is>
      </c>
      <c r="F179" t="inlineStr"/>
      <c r="G179" t="inlineStr"/>
      <c r="H179" t="inlineStr">
        <is>
          <t>85</t>
        </is>
      </c>
      <c r="I179" t="inlineStr">
        <is>
          <t>68</t>
        </is>
      </c>
      <c r="J179" t="inlineStr"/>
      <c r="K179" t="inlineStr"/>
      <c r="L179" t="inlineStr"/>
      <c r="M179" t="inlineStr"/>
      <c r="N179" t="inlineStr">
        <is>
          <t>1</t>
        </is>
      </c>
      <c r="O179" t="inlineStr">
        <is>
          <t>1</t>
        </is>
      </c>
      <c r="P179" t="inlineStr">
        <is>
          <t>0</t>
        </is>
      </c>
      <c r="Q179" t="inlineStr">
        <is>
          <t>1930</t>
        </is>
      </c>
      <c r="R179" t="inlineStr">
        <is>
          <t>0</t>
        </is>
      </c>
      <c r="S179" t="inlineStr">
        <is>
          <t>0</t>
        </is>
      </c>
      <c r="T179" t="inlineStr"/>
      <c r="U179" t="inlineStr"/>
      <c r="V179" t="inlineStr">
        <is>
          <t>A 2 YR OLD MALE &amp; HIS TWIN BROTHER BOTH FOUND WITH OPEN BOTTLE OF ***DX ACCIDENTAL INGESTION/OVERDOSE</t>
        </is>
      </c>
      <c r="W179" t="inlineStr">
        <is>
          <t>V</t>
        </is>
      </c>
      <c r="X179" t="inlineStr">
        <is>
          <t>58</t>
        </is>
      </c>
      <c r="Y179" t="inlineStr">
        <is>
          <t>17.2875</t>
        </is>
      </c>
      <c r="Z179" t="n">
        <v>0</v>
      </c>
      <c r="AA179" t="n">
        <v>0</v>
      </c>
      <c r="AB179" t="inlineStr">
        <is>
          <t>No explicit mention of a vitamin or supplement, and the substance is unknown.</t>
        </is>
      </c>
    </row>
    <row r="180">
      <c r="A180" t="inlineStr">
        <is>
          <t>40850023</t>
        </is>
      </c>
      <c r="B180" t="inlineStr">
        <is>
          <t>2004-05-25 00:00:00</t>
        </is>
      </c>
      <c r="C180" t="inlineStr">
        <is>
          <t>223</t>
        </is>
      </c>
      <c r="D180" t="inlineStr">
        <is>
          <t>1</t>
        </is>
      </c>
      <c r="E180" t="inlineStr">
        <is>
          <t>1</t>
        </is>
      </c>
      <c r="F180" t="inlineStr"/>
      <c r="G180" t="inlineStr"/>
      <c r="H180" t="inlineStr">
        <is>
          <t>85</t>
        </is>
      </c>
      <c r="I180" t="inlineStr">
        <is>
          <t>68</t>
        </is>
      </c>
      <c r="J180" t="inlineStr"/>
      <c r="K180" t="inlineStr"/>
      <c r="L180" t="inlineStr"/>
      <c r="M180" t="inlineStr"/>
      <c r="N180" t="inlineStr">
        <is>
          <t>1</t>
        </is>
      </c>
      <c r="O180" t="inlineStr">
        <is>
          <t>0</t>
        </is>
      </c>
      <c r="P180" t="inlineStr">
        <is>
          <t>0</t>
        </is>
      </c>
      <c r="Q180" t="inlineStr">
        <is>
          <t>1931</t>
        </is>
      </c>
      <c r="R180" t="inlineStr">
        <is>
          <t>1135</t>
        </is>
      </c>
      <c r="S180" t="inlineStr">
        <is>
          <t>0</t>
        </is>
      </c>
      <c r="T180" t="inlineStr"/>
      <c r="U180" t="inlineStr"/>
      <c r="V180" t="inlineStr">
        <is>
          <t>PATIENT INGESTED APPROX 20 "***" FAT LOSS PILLS FROM BOTTLE, VOMITING PILL FRAGMENTS, HYPER; CHARCOAL ACTIVATED</t>
        </is>
      </c>
      <c r="W180" t="inlineStr">
        <is>
          <t>C</t>
        </is>
      </c>
      <c r="X180" t="inlineStr">
        <is>
          <t>8</t>
        </is>
      </c>
      <c r="Y180" t="inlineStr">
        <is>
          <t>6.3776</t>
        </is>
      </c>
      <c r="Z180" t="n">
        <v>1</v>
      </c>
      <c r="AA180" t="n">
        <v>1</v>
      </c>
      <c r="AB180" t="inlineStr">
        <is>
          <t>Mentions 'FAT LOSS PILLS' which are supplements without iron.</t>
        </is>
      </c>
    </row>
    <row r="181">
      <c r="A181" t="inlineStr">
        <is>
          <t>91107875</t>
        </is>
      </c>
      <c r="B181" t="inlineStr">
        <is>
          <t>2009-11-02 00:00:00</t>
        </is>
      </c>
      <c r="C181" t="inlineStr">
        <is>
          <t>2</t>
        </is>
      </c>
      <c r="D181" t="inlineStr">
        <is>
          <t>1</t>
        </is>
      </c>
      <c r="E181" t="inlineStr">
        <is>
          <t>1</t>
        </is>
      </c>
      <c r="F181" t="inlineStr"/>
      <c r="G181" t="inlineStr"/>
      <c r="H181" t="inlineStr">
        <is>
          <t>85</t>
        </is>
      </c>
      <c r="I181" t="inlineStr">
        <is>
          <t>68</t>
        </is>
      </c>
      <c r="J181" t="inlineStr"/>
      <c r="K181" t="inlineStr"/>
      <c r="L181" t="inlineStr"/>
      <c r="M181" t="inlineStr"/>
      <c r="N181" t="inlineStr">
        <is>
          <t>1</t>
        </is>
      </c>
      <c r="O181" t="inlineStr">
        <is>
          <t>1</t>
        </is>
      </c>
      <c r="P181" t="inlineStr">
        <is>
          <t>0</t>
        </is>
      </c>
      <c r="Q181" t="inlineStr">
        <is>
          <t>1931</t>
        </is>
      </c>
      <c r="R181" t="inlineStr">
        <is>
          <t>0</t>
        </is>
      </c>
      <c r="S181" t="inlineStr">
        <is>
          <t>0</t>
        </is>
      </c>
      <c r="T181" t="inlineStr"/>
      <c r="U181" t="inlineStr"/>
      <c r="V181" t="inlineStr">
        <is>
          <t>PARENTS SAY CHILD "MAY HAVE INGESTED *** TABLET" AT HOMEDX POSSIBLE INGESTION OF *** TABLET</t>
        </is>
      </c>
      <c r="W181" t="inlineStr">
        <is>
          <t>S</t>
        </is>
      </c>
      <c r="X181" t="inlineStr">
        <is>
          <t>28</t>
        </is>
      </c>
      <c r="Y181" t="inlineStr">
        <is>
          <t>70.8387</t>
        </is>
      </c>
      <c r="Z181" t="n">
        <v>1</v>
      </c>
      <c r="AA181" t="n">
        <v>0</v>
      </c>
      <c r="AB181" t="inlineStr">
        <is>
          <t>No explicit mention of vitamin or dietary supplement, and ingestion is not clearly linked to a known supplement.</t>
        </is>
      </c>
    </row>
    <row r="182">
      <c r="A182" t="inlineStr">
        <is>
          <t>50550248</t>
        </is>
      </c>
      <c r="B182" t="inlineStr">
        <is>
          <t>2005-05-25 00:00:00</t>
        </is>
      </c>
      <c r="C182" t="inlineStr">
        <is>
          <t>19</t>
        </is>
      </c>
      <c r="D182" t="inlineStr">
        <is>
          <t>2</t>
        </is>
      </c>
      <c r="E182" t="inlineStr">
        <is>
          <t>0</t>
        </is>
      </c>
      <c r="F182" t="inlineStr"/>
      <c r="G182" t="inlineStr"/>
      <c r="H182" t="inlineStr">
        <is>
          <t>85</t>
        </is>
      </c>
      <c r="I182" t="inlineStr">
        <is>
          <t>68</t>
        </is>
      </c>
      <c r="J182" t="inlineStr"/>
      <c r="K182" t="inlineStr"/>
      <c r="L182" t="inlineStr"/>
      <c r="M182" t="inlineStr"/>
      <c r="N182" t="inlineStr">
        <is>
          <t>1</t>
        </is>
      </c>
      <c r="O182" t="inlineStr">
        <is>
          <t>8</t>
        </is>
      </c>
      <c r="P182" t="inlineStr">
        <is>
          <t>0</t>
        </is>
      </c>
      <c r="Q182" t="inlineStr">
        <is>
          <t>1842</t>
        </is>
      </c>
      <c r="R182" t="inlineStr">
        <is>
          <t>0</t>
        </is>
      </c>
      <c r="S182" t="inlineStr">
        <is>
          <t>0</t>
        </is>
      </c>
      <c r="T182" t="inlineStr"/>
      <c r="U182" t="inlineStr"/>
      <c r="V182" t="inlineStr">
        <is>
          <t>PT TOOK 2 *** LAST PM&amp;ANOTHER ONE TODAY 7AM FOR BACK PAIN ,LATERFOUND DOWN STAIRS VOMITTING THEN PASSED OUT SUST" PREGNANCY"</t>
        </is>
      </c>
      <c r="W182" t="inlineStr">
        <is>
          <t>V</t>
        </is>
      </c>
      <c r="X182" t="inlineStr">
        <is>
          <t>21</t>
        </is>
      </c>
      <c r="Y182" t="inlineStr">
        <is>
          <t>15.5095</t>
        </is>
      </c>
      <c r="Z182" t="n">
        <v>0</v>
      </c>
      <c r="AA182" t="n">
        <v>0</v>
      </c>
      <c r="AB182" t="inlineStr">
        <is>
          <t>No explicit mention of a vitamin or supplement, and no iron-containing formulation mentioned.</t>
        </is>
      </c>
    </row>
    <row r="183">
      <c r="A183" t="inlineStr">
        <is>
          <t>151121619</t>
        </is>
      </c>
      <c r="B183" t="inlineStr">
        <is>
          <t>2015-11-08 00:00:00</t>
        </is>
      </c>
      <c r="C183" t="inlineStr">
        <is>
          <t>4</t>
        </is>
      </c>
      <c r="D183" t="inlineStr">
        <is>
          <t>1</t>
        </is>
      </c>
      <c r="E183" t="inlineStr">
        <is>
          <t>2</t>
        </is>
      </c>
      <c r="F183" t="inlineStr"/>
      <c r="G183" t="inlineStr"/>
      <c r="H183" t="inlineStr">
        <is>
          <t>85</t>
        </is>
      </c>
      <c r="I183" t="inlineStr">
        <is>
          <t>68</t>
        </is>
      </c>
      <c r="J183" t="inlineStr"/>
      <c r="K183" t="inlineStr"/>
      <c r="L183" t="inlineStr"/>
      <c r="M183" t="inlineStr"/>
      <c r="N183" t="inlineStr">
        <is>
          <t>4</t>
        </is>
      </c>
      <c r="O183" t="inlineStr">
        <is>
          <t>1</t>
        </is>
      </c>
      <c r="P183" t="inlineStr">
        <is>
          <t>0</t>
        </is>
      </c>
      <c r="Q183" t="inlineStr">
        <is>
          <t>2640</t>
        </is>
      </c>
      <c r="R183" t="inlineStr">
        <is>
          <t>0</t>
        </is>
      </c>
      <c r="S183" t="inlineStr">
        <is>
          <t>0</t>
        </is>
      </c>
      <c r="T183" t="inlineStr"/>
      <c r="U183" t="inlineStr"/>
      <c r="V183" t="inlineStr">
        <is>
          <t>4YOM ACTING DRUNK, CONFUSED &amp; SLURRING S/P DRINKING A BOTTLE OF MOUTHWASH. DX ALCOHOL INGESTION, AMS. ^</t>
        </is>
      </c>
      <c r="W183" t="inlineStr">
        <is>
          <t>C</t>
        </is>
      </c>
      <c r="X183" t="inlineStr">
        <is>
          <t>10</t>
        </is>
      </c>
      <c r="Y183" t="inlineStr">
        <is>
          <t>4.9655</t>
        </is>
      </c>
      <c r="Z183" t="n">
        <v>0</v>
      </c>
      <c r="AA183" t="n">
        <v>0</v>
      </c>
      <c r="AB183" t="inlineStr">
        <is>
          <t>Mentions 'mouthwash' which is a household chemical/toxin, not a supplement.</t>
        </is>
      </c>
    </row>
    <row r="184">
      <c r="A184" t="inlineStr">
        <is>
          <t>210607612</t>
        </is>
      </c>
      <c r="B184" t="inlineStr">
        <is>
          <t>2021-02-14 00:00:00</t>
        </is>
      </c>
      <c r="C184" t="inlineStr">
        <is>
          <t>2</t>
        </is>
      </c>
      <c r="D184" t="inlineStr">
        <is>
          <t>2</t>
        </is>
      </c>
      <c r="E184" t="inlineStr">
        <is>
          <t>2</t>
        </is>
      </c>
      <c r="F184" t="inlineStr"/>
      <c r="G184" t="inlineStr">
        <is>
          <t>1</t>
        </is>
      </c>
      <c r="H184" t="inlineStr">
        <is>
          <t>85</t>
        </is>
      </c>
      <c r="I184" t="inlineStr">
        <is>
          <t>68</t>
        </is>
      </c>
      <c r="J184" t="inlineStr"/>
      <c r="K184" t="inlineStr"/>
      <c r="L184" t="inlineStr"/>
      <c r="M184" t="inlineStr"/>
      <c r="N184" t="inlineStr">
        <is>
          <t>1</t>
        </is>
      </c>
      <c r="O184" t="inlineStr">
        <is>
          <t>0</t>
        </is>
      </c>
      <c r="P184" t="inlineStr">
        <is>
          <t>0</t>
        </is>
      </c>
      <c r="Q184" t="inlineStr">
        <is>
          <t>1927</t>
        </is>
      </c>
      <c r="R184" t="inlineStr">
        <is>
          <t>0</t>
        </is>
      </c>
      <c r="S184" t="inlineStr">
        <is>
          <t>0</t>
        </is>
      </c>
      <c r="T184" t="inlineStr">
        <is>
          <t>0</t>
        </is>
      </c>
      <c r="U184" t="inlineStr">
        <is>
          <t>1</t>
        </is>
      </c>
      <c r="V184" t="inlineStr">
        <is>
          <t>2YOF SWALLOWED *** SOLUTION POSSIBLY. DX ACCIDENTAL DRUG INGESTION@</t>
        </is>
      </c>
      <c r="W184" t="inlineStr">
        <is>
          <t>C</t>
        </is>
      </c>
      <c r="X184" t="inlineStr">
        <is>
          <t>10</t>
        </is>
      </c>
      <c r="Y184" t="inlineStr">
        <is>
          <t>4.8516</t>
        </is>
      </c>
      <c r="Z184" t="n">
        <v>1</v>
      </c>
      <c r="AA184" t="n">
        <v>0</v>
      </c>
      <c r="AB184" t="inlineStr">
        <is>
          <t>No explicit mention of vitamin or dietary supplement; ingestion could be any substance.</t>
        </is>
      </c>
    </row>
    <row r="185">
      <c r="A185" t="inlineStr">
        <is>
          <t>70550225</t>
        </is>
      </c>
      <c r="B185" t="inlineStr">
        <is>
          <t>2007-04-26 00:00:00</t>
        </is>
      </c>
      <c r="C185" t="inlineStr">
        <is>
          <t>3</t>
        </is>
      </c>
      <c r="D185" t="inlineStr">
        <is>
          <t>2</t>
        </is>
      </c>
      <c r="E185" t="inlineStr">
        <is>
          <t>1</t>
        </is>
      </c>
      <c r="F185" t="inlineStr"/>
      <c r="G185" t="inlineStr"/>
      <c r="H185" t="inlineStr">
        <is>
          <t>85</t>
        </is>
      </c>
      <c r="I185" t="inlineStr">
        <is>
          <t>68</t>
        </is>
      </c>
      <c r="J185" t="inlineStr"/>
      <c r="K185" t="inlineStr"/>
      <c r="L185" t="inlineStr"/>
      <c r="M185" t="inlineStr"/>
      <c r="N185" t="inlineStr">
        <is>
          <t>5</t>
        </is>
      </c>
      <c r="O185" t="inlineStr">
        <is>
          <t>1</t>
        </is>
      </c>
      <c r="P185" t="inlineStr">
        <is>
          <t>0</t>
        </is>
      </c>
      <c r="Q185" t="inlineStr">
        <is>
          <t>1931</t>
        </is>
      </c>
      <c r="R185" t="inlineStr">
        <is>
          <t>0</t>
        </is>
      </c>
      <c r="S185" t="inlineStr">
        <is>
          <t>0</t>
        </is>
      </c>
      <c r="T185" t="inlineStr"/>
      <c r="U185" t="inlineStr"/>
      <c r="V185" t="inlineStr">
        <is>
          <t>INGESTED *** ACCIENTLYACCIDENTAL INGESTION</t>
        </is>
      </c>
      <c r="W185" t="inlineStr">
        <is>
          <t>M</t>
        </is>
      </c>
      <c r="X185" t="inlineStr">
        <is>
          <t>24</t>
        </is>
      </c>
      <c r="Y185" t="inlineStr">
        <is>
          <t>80.0746</t>
        </is>
      </c>
      <c r="Z185" t="n">
        <v>1</v>
      </c>
      <c r="AA185" t="n">
        <v>0</v>
      </c>
      <c r="AB185" t="inlineStr">
        <is>
          <t>Ingestion alone does NOT imply label=1; no explicit mention of vitamin/supplement.</t>
        </is>
      </c>
    </row>
    <row r="186">
      <c r="A186" t="inlineStr">
        <is>
          <t>180757800</t>
        </is>
      </c>
      <c r="B186" t="inlineStr">
        <is>
          <t>2018-07-27 00:00:00</t>
        </is>
      </c>
      <c r="C186" t="inlineStr">
        <is>
          <t>219</t>
        </is>
      </c>
      <c r="D186" t="inlineStr">
        <is>
          <t>1</t>
        </is>
      </c>
      <c r="E186" t="inlineStr">
        <is>
          <t>1</t>
        </is>
      </c>
      <c r="F186" t="inlineStr"/>
      <c r="G186" t="inlineStr"/>
      <c r="H186" t="inlineStr">
        <is>
          <t>85</t>
        </is>
      </c>
      <c r="I186" t="inlineStr">
        <is>
          <t>68</t>
        </is>
      </c>
      <c r="J186" t="inlineStr"/>
      <c r="K186" t="inlineStr"/>
      <c r="L186" t="inlineStr"/>
      <c r="M186" t="inlineStr"/>
      <c r="N186" t="inlineStr">
        <is>
          <t>1</t>
        </is>
      </c>
      <c r="O186" t="inlineStr">
        <is>
          <t>1</t>
        </is>
      </c>
      <c r="P186" t="inlineStr">
        <is>
          <t>0</t>
        </is>
      </c>
      <c r="Q186" t="inlineStr">
        <is>
          <t>1932</t>
        </is>
      </c>
      <c r="R186" t="inlineStr">
        <is>
          <t>0</t>
        </is>
      </c>
      <c r="S186" t="inlineStr">
        <is>
          <t>0</t>
        </is>
      </c>
      <c r="T186" t="inlineStr"/>
      <c r="U186" t="inlineStr"/>
      <c r="V186" t="inlineStr">
        <is>
          <t>19MOM PT ESCAPED FROM CRIB AND WENT TO PARENTS ROOM PT FOUND WITH LIQUID NICOTINE CARTRIDGE. DX INGESTION</t>
        </is>
      </c>
      <c r="W186" t="inlineStr">
        <is>
          <t>C</t>
        </is>
      </c>
      <c r="X186" t="inlineStr">
        <is>
          <t>90</t>
        </is>
      </c>
      <c r="Y186" t="inlineStr">
        <is>
          <t>4.9383</t>
        </is>
      </c>
      <c r="Z186" t="n">
        <v>1</v>
      </c>
      <c r="AA186" t="n">
        <v>0</v>
      </c>
      <c r="AB186" t="inlineStr">
        <is>
          <t>Liquid nicotine cartridge is a household chemical/toxin, not a supplement.</t>
        </is>
      </c>
    </row>
    <row r="187">
      <c r="A187" t="inlineStr">
        <is>
          <t>230362115</t>
        </is>
      </c>
      <c r="B187" t="inlineStr">
        <is>
          <t>2023-03-22 00:00:00</t>
        </is>
      </c>
      <c r="C187" t="inlineStr">
        <is>
          <t>2</t>
        </is>
      </c>
      <c r="D187" t="inlineStr">
        <is>
          <t>1</t>
        </is>
      </c>
      <c r="E187" t="inlineStr">
        <is>
          <t>0</t>
        </is>
      </c>
      <c r="F187" t="inlineStr"/>
      <c r="G187" t="inlineStr">
        <is>
          <t>0</t>
        </is>
      </c>
      <c r="H187" t="inlineStr">
        <is>
          <t>85</t>
        </is>
      </c>
      <c r="I187" t="inlineStr">
        <is>
          <t>68</t>
        </is>
      </c>
      <c r="J187" t="inlineStr"/>
      <c r="K187" t="inlineStr"/>
      <c r="L187" t="inlineStr"/>
      <c r="M187" t="inlineStr"/>
      <c r="N187" t="inlineStr">
        <is>
          <t>1</t>
        </is>
      </c>
      <c r="O187" t="inlineStr">
        <is>
          <t>1</t>
        </is>
      </c>
      <c r="P187" t="inlineStr">
        <is>
          <t>0</t>
        </is>
      </c>
      <c r="Q187" t="inlineStr">
        <is>
          <t>1927</t>
        </is>
      </c>
      <c r="R187" t="inlineStr">
        <is>
          <t>0</t>
        </is>
      </c>
      <c r="S187" t="inlineStr">
        <is>
          <t>0</t>
        </is>
      </c>
      <c r="T187" t="inlineStr">
        <is>
          <t>0</t>
        </is>
      </c>
      <c r="U187" t="inlineStr">
        <is>
          <t>1</t>
        </is>
      </c>
      <c r="V187" t="inlineStr">
        <is>
          <t>2YOM TAKING AMOXICILLIN FOR AN OTITIS AND DEVELOPED A RASH DX: RASH</t>
        </is>
      </c>
      <c r="W187" t="inlineStr">
        <is>
          <t>S</t>
        </is>
      </c>
      <c r="X187" t="inlineStr">
        <is>
          <t>73</t>
        </is>
      </c>
      <c r="Y187" t="inlineStr">
        <is>
          <t>76.8216</t>
        </is>
      </c>
      <c r="Z187" t="n">
        <v>1</v>
      </c>
      <c r="AA187" t="n">
        <v>0</v>
      </c>
      <c r="AB187" t="inlineStr">
        <is>
          <t>Mentions 'amoxicillin' which is an antibiotic, not a supplement.</t>
        </is>
      </c>
    </row>
    <row r="188">
      <c r="A188" t="inlineStr">
        <is>
          <t>220858819</t>
        </is>
      </c>
      <c r="B188" t="inlineStr">
        <is>
          <t>2022-06-20 00:00:00</t>
        </is>
      </c>
      <c r="C188" t="inlineStr">
        <is>
          <t>218</t>
        </is>
      </c>
      <c r="D188" t="inlineStr">
        <is>
          <t>1</t>
        </is>
      </c>
      <c r="E188" t="inlineStr">
        <is>
          <t>1</t>
        </is>
      </c>
      <c r="F188" t="inlineStr"/>
      <c r="G188" t="inlineStr">
        <is>
          <t>2</t>
        </is>
      </c>
      <c r="H188" t="inlineStr">
        <is>
          <t>85</t>
        </is>
      </c>
      <c r="I188" t="inlineStr">
        <is>
          <t>68</t>
        </is>
      </c>
      <c r="J188" t="inlineStr"/>
      <c r="K188" t="inlineStr"/>
      <c r="L188" t="inlineStr"/>
      <c r="M188" t="inlineStr"/>
      <c r="N188" t="inlineStr">
        <is>
          <t>1</t>
        </is>
      </c>
      <c r="O188" t="inlineStr">
        <is>
          <t>1</t>
        </is>
      </c>
      <c r="P188" t="inlineStr">
        <is>
          <t>0</t>
        </is>
      </c>
      <c r="Q188" t="inlineStr">
        <is>
          <t>966</t>
        </is>
      </c>
      <c r="R188" t="inlineStr">
        <is>
          <t>1807</t>
        </is>
      </c>
      <c r="S188" t="inlineStr">
        <is>
          <t>1135</t>
        </is>
      </c>
      <c r="T188" t="inlineStr">
        <is>
          <t>0</t>
        </is>
      </c>
      <c r="U188" t="inlineStr">
        <is>
          <t>0</t>
        </is>
      </c>
      <c r="V188" t="inlineStr">
        <is>
          <t>18MOM PER FATHER HE WAS PUTTING ANIT-FREEZE IN HIS CAR WHEN THE CAP TO THE ANTI-FREEZE FELL ONTO THE GARAGE FLOOR  PT PUT CAP IN MOUTH FATHER WORRIED ABOUT ANITI FREEZE BEING ON THE CAP DX ACCIDENTAL INGESTION OF TOXIC SUBSTANCE</t>
        </is>
      </c>
      <c r="W188" t="inlineStr">
        <is>
          <t>L</t>
        </is>
      </c>
      <c r="X188" t="inlineStr">
        <is>
          <t>89</t>
        </is>
      </c>
      <c r="Y188" t="inlineStr">
        <is>
          <t>64.7151</t>
        </is>
      </c>
      <c r="Z188" t="n">
        <v>0</v>
      </c>
      <c r="AA188" t="n">
        <v>0</v>
      </c>
      <c r="AB188" t="inlineStr">
        <is>
          <t>Mentions 'toxic substance' which is not a supplement, but rather a household chemical.</t>
        </is>
      </c>
    </row>
    <row r="189">
      <c r="A189" t="inlineStr">
        <is>
          <t>170804528</t>
        </is>
      </c>
      <c r="B189" t="inlineStr">
        <is>
          <t>2017-07-26 00:00:00</t>
        </is>
      </c>
      <c r="C189" t="inlineStr">
        <is>
          <t>4</t>
        </is>
      </c>
      <c r="D189" t="inlineStr">
        <is>
          <t>1</t>
        </is>
      </c>
      <c r="E189" t="inlineStr">
        <is>
          <t>5</t>
        </is>
      </c>
      <c r="F189" t="inlineStr"/>
      <c r="G189" t="inlineStr"/>
      <c r="H189" t="inlineStr">
        <is>
          <t>85</t>
        </is>
      </c>
      <c r="I189" t="inlineStr">
        <is>
          <t>68</t>
        </is>
      </c>
      <c r="J189" t="inlineStr"/>
      <c r="K189" t="inlineStr"/>
      <c r="L189" t="inlineStr"/>
      <c r="M189" t="inlineStr"/>
      <c r="N189" t="inlineStr">
        <is>
          <t>1</t>
        </is>
      </c>
      <c r="O189" t="inlineStr">
        <is>
          <t>0</t>
        </is>
      </c>
      <c r="P189" t="inlineStr">
        <is>
          <t>0</t>
        </is>
      </c>
      <c r="Q189" t="inlineStr">
        <is>
          <t>1931</t>
        </is>
      </c>
      <c r="R189" t="inlineStr">
        <is>
          <t>0</t>
        </is>
      </c>
      <c r="S189" t="inlineStr">
        <is>
          <t>0</t>
        </is>
      </c>
      <c r="T189" t="inlineStr"/>
      <c r="U189" t="inlineStr"/>
      <c r="V189" t="inlineStr">
        <is>
          <t>4YOM ATE GRANDMA'S LAXATIVE, GENERIC . GRANDMA WAS WORRIED&amp; BROUGHT HIM IN DX: ACCIDENTAL INGESTION LAXATIVE</t>
        </is>
      </c>
      <c r="W189" t="inlineStr">
        <is>
          <t>S</t>
        </is>
      </c>
      <c r="X189" t="inlineStr">
        <is>
          <t>85</t>
        </is>
      </c>
      <c r="Y189" t="inlineStr">
        <is>
          <t>77.6641</t>
        </is>
      </c>
      <c r="Z189" t="n">
        <v>1</v>
      </c>
      <c r="AA189" t="n">
        <v>0</v>
      </c>
      <c r="AB189" t="inlineStr">
        <is>
          <t>Mentions 'laxative' which is a medication, not a supplement.</t>
        </is>
      </c>
    </row>
    <row r="190">
      <c r="A190" t="inlineStr">
        <is>
          <t>50911205</t>
        </is>
      </c>
      <c r="B190" t="inlineStr">
        <is>
          <t>2005-08-11 00:00:00</t>
        </is>
      </c>
      <c r="C190" t="inlineStr">
        <is>
          <t>14</t>
        </is>
      </c>
      <c r="D190" t="inlineStr">
        <is>
          <t>2</t>
        </is>
      </c>
      <c r="E190" t="inlineStr">
        <is>
          <t>2</t>
        </is>
      </c>
      <c r="F190" t="inlineStr"/>
      <c r="G190" t="inlineStr"/>
      <c r="H190" t="inlineStr">
        <is>
          <t>85</t>
        </is>
      </c>
      <c r="I190" t="inlineStr">
        <is>
          <t>68</t>
        </is>
      </c>
      <c r="J190" t="inlineStr"/>
      <c r="K190" t="inlineStr"/>
      <c r="L190" t="inlineStr"/>
      <c r="M190" t="inlineStr"/>
      <c r="N190" t="inlineStr">
        <is>
          <t>1</t>
        </is>
      </c>
      <c r="O190" t="inlineStr">
        <is>
          <t>5</t>
        </is>
      </c>
      <c r="P190" t="inlineStr">
        <is>
          <t>0</t>
        </is>
      </c>
      <c r="Q190" t="inlineStr">
        <is>
          <t>478</t>
        </is>
      </c>
      <c r="R190" t="inlineStr">
        <is>
          <t>0</t>
        </is>
      </c>
      <c r="S190" t="inlineStr">
        <is>
          <t>0</t>
        </is>
      </c>
      <c r="T190" t="inlineStr"/>
      <c r="U190" t="inlineStr"/>
      <c r="V190" t="inlineStr">
        <is>
          <t>INGESTION FOUND UNRESPONSIVE @BUS STOP DRANK 4 GLASSES OF ALCOHOLIC BEVERAGE</t>
        </is>
      </c>
      <c r="W190" t="inlineStr">
        <is>
          <t>C</t>
        </is>
      </c>
      <c r="X190" t="inlineStr">
        <is>
          <t>31</t>
        </is>
      </c>
      <c r="Y190" t="inlineStr">
        <is>
          <t>5.8147</t>
        </is>
      </c>
      <c r="Z190" t="n">
        <v>0</v>
      </c>
      <c r="AA190" t="n">
        <v>0</v>
      </c>
      <c r="AB190" t="inlineStr">
        <is>
          <t>No mention of vitamins or supplements; ingestion of 'alcoholic beverage' is not a supplement.</t>
        </is>
      </c>
    </row>
    <row r="191">
      <c r="A191" t="inlineStr">
        <is>
          <t>110515206</t>
        </is>
      </c>
      <c r="B191" t="inlineStr">
        <is>
          <t>2011-04-27 00:00:00</t>
        </is>
      </c>
      <c r="C191" t="inlineStr">
        <is>
          <t>2</t>
        </is>
      </c>
      <c r="D191" t="inlineStr">
        <is>
          <t>2</t>
        </is>
      </c>
      <c r="E191" t="inlineStr">
        <is>
          <t>1</t>
        </is>
      </c>
      <c r="F191" t="inlineStr"/>
      <c r="G191" t="inlineStr"/>
      <c r="H191" t="inlineStr">
        <is>
          <t>85</t>
        </is>
      </c>
      <c r="I191" t="inlineStr">
        <is>
          <t>68</t>
        </is>
      </c>
      <c r="J191" t="inlineStr"/>
      <c r="K191" t="inlineStr"/>
      <c r="L191" t="inlineStr"/>
      <c r="M191" t="inlineStr"/>
      <c r="N191" t="inlineStr">
        <is>
          <t>1</t>
        </is>
      </c>
      <c r="O191" t="inlineStr">
        <is>
          <t>1</t>
        </is>
      </c>
      <c r="P191" t="inlineStr">
        <is>
          <t>0</t>
        </is>
      </c>
      <c r="Q191" t="inlineStr">
        <is>
          <t>1916</t>
        </is>
      </c>
      <c r="R191" t="inlineStr">
        <is>
          <t>1135</t>
        </is>
      </c>
      <c r="S191" t="inlineStr">
        <is>
          <t>0</t>
        </is>
      </c>
      <c r="T191" t="inlineStr"/>
      <c r="U191" t="inlineStr"/>
      <c r="V191" t="inlineStr">
        <is>
          <t>2YOF; MOM FOUND EMPTY BOTTLE OF ***; PT ADMITS TO TAKING SOME WITH SIBLING. D; IRON INGESTION</t>
        </is>
      </c>
      <c r="W191" t="inlineStr">
        <is>
          <t>C</t>
        </is>
      </c>
      <c r="X191" t="inlineStr">
        <is>
          <t>10</t>
        </is>
      </c>
      <c r="Y191" t="inlineStr">
        <is>
          <t>5.5147</t>
        </is>
      </c>
      <c r="Z191" t="n">
        <v>0</v>
      </c>
      <c r="AA191" t="n">
        <v>0</v>
      </c>
      <c r="AB191" t="inlineStr">
        <is>
          <t>Mentions iron formulation (e.g., 'iron/Fe/ferrous'); iron-containing products are excluded.</t>
        </is>
      </c>
    </row>
    <row r="192">
      <c r="A192" t="inlineStr">
        <is>
          <t>160423999</t>
        </is>
      </c>
      <c r="B192" t="inlineStr">
        <is>
          <t>2016-04-09 00:00:00</t>
        </is>
      </c>
      <c r="C192" t="inlineStr">
        <is>
          <t>3</t>
        </is>
      </c>
      <c r="D192" t="inlineStr">
        <is>
          <t>1</t>
        </is>
      </c>
      <c r="E192" t="inlineStr">
        <is>
          <t>0</t>
        </is>
      </c>
      <c r="F192" t="inlineStr"/>
      <c r="G192" t="inlineStr"/>
      <c r="H192" t="inlineStr">
        <is>
          <t>85</t>
        </is>
      </c>
      <c r="I192" t="inlineStr">
        <is>
          <t>68</t>
        </is>
      </c>
      <c r="J192" t="inlineStr"/>
      <c r="K192" t="inlineStr"/>
      <c r="L192" t="inlineStr"/>
      <c r="M192" t="inlineStr"/>
      <c r="N192" t="inlineStr">
        <is>
          <t>1</t>
        </is>
      </c>
      <c r="O192" t="inlineStr">
        <is>
          <t>1</t>
        </is>
      </c>
      <c r="P192" t="inlineStr">
        <is>
          <t>0</t>
        </is>
      </c>
      <c r="Q192" t="inlineStr">
        <is>
          <t>1931</t>
        </is>
      </c>
      <c r="R192" t="inlineStr">
        <is>
          <t>0</t>
        </is>
      </c>
      <c r="S192" t="inlineStr">
        <is>
          <t>0</t>
        </is>
      </c>
      <c r="T192" t="inlineStr"/>
      <c r="U192" t="inlineStr"/>
      <c r="V192" t="inlineStr">
        <is>
          <t>3 YOM INGESTED APPROXIMATELY 10 *** MELATONINDX POISON</t>
        </is>
      </c>
      <c r="W192" t="inlineStr">
        <is>
          <t>V</t>
        </is>
      </c>
      <c r="X192" t="inlineStr">
        <is>
          <t>58</t>
        </is>
      </c>
      <c r="Y192" t="inlineStr">
        <is>
          <t>14.6504</t>
        </is>
      </c>
      <c r="Z192" t="n">
        <v>1</v>
      </c>
      <c r="AA192" t="n">
        <v>0</v>
      </c>
      <c r="AB192" t="inlineStr">
        <is>
          <t>Mentions 'melatonin' (supplement; no iron) but with unclear formulation ('*** MELATONINDX POISON')</t>
        </is>
      </c>
    </row>
    <row r="193">
      <c r="A193" t="inlineStr">
        <is>
          <t>90518768</t>
        </is>
      </c>
      <c r="B193" t="inlineStr">
        <is>
          <t>2009-05-04 00:00:00</t>
        </is>
      </c>
      <c r="C193" t="inlineStr">
        <is>
          <t>215</t>
        </is>
      </c>
      <c r="D193" t="inlineStr">
        <is>
          <t>1</t>
        </is>
      </c>
      <c r="E193" t="inlineStr">
        <is>
          <t>1</t>
        </is>
      </c>
      <c r="F193" t="inlineStr"/>
      <c r="G193" t="inlineStr"/>
      <c r="H193" t="inlineStr">
        <is>
          <t>85</t>
        </is>
      </c>
      <c r="I193" t="inlineStr">
        <is>
          <t>68</t>
        </is>
      </c>
      <c r="J193" t="inlineStr"/>
      <c r="K193" t="inlineStr"/>
      <c r="L193" t="inlineStr"/>
      <c r="M193" t="inlineStr"/>
      <c r="N193" t="inlineStr">
        <is>
          <t>1</t>
        </is>
      </c>
      <c r="O193" t="inlineStr">
        <is>
          <t>1</t>
        </is>
      </c>
      <c r="P193" t="inlineStr">
        <is>
          <t>0</t>
        </is>
      </c>
      <c r="Q193" t="inlineStr">
        <is>
          <t>1931</t>
        </is>
      </c>
      <c r="R193" t="inlineStr">
        <is>
          <t>0</t>
        </is>
      </c>
      <c r="S193" t="inlineStr">
        <is>
          <t>0</t>
        </is>
      </c>
      <c r="T193" t="inlineStr"/>
      <c r="U193" t="inlineStr"/>
      <c r="V193" t="inlineStr">
        <is>
          <t>15 MTH OLD M INGESTION OF *** 5MG TAB CHILD FOUND WITH 1/2 DISOLOVEDPILL IN MOUTH*</t>
        </is>
      </c>
      <c r="W193" t="inlineStr">
        <is>
          <t>M</t>
        </is>
      </c>
      <c r="X193" t="inlineStr">
        <is>
          <t>68</t>
        </is>
      </c>
      <c r="Y193" t="inlineStr">
        <is>
          <t>75.3912</t>
        </is>
      </c>
      <c r="Z193" t="n">
        <v>1</v>
      </c>
      <c r="AA193" t="n">
        <v>0</v>
      </c>
      <c r="AB193" t="inlineStr">
        <is>
          <t>No explicit mention of vitamin or dietary supplement, and ingestion alone does not imply label=1.</t>
        </is>
      </c>
    </row>
    <row r="194">
      <c r="A194" t="inlineStr">
        <is>
          <t>160143169</t>
        </is>
      </c>
      <c r="B194" t="inlineStr">
        <is>
          <t>2016-01-13 00:00:00</t>
        </is>
      </c>
      <c r="C194" t="inlineStr">
        <is>
          <t>41</t>
        </is>
      </c>
      <c r="D194" t="inlineStr">
        <is>
          <t>1</t>
        </is>
      </c>
      <c r="E194" t="inlineStr">
        <is>
          <t>3</t>
        </is>
      </c>
      <c r="F194" t="inlineStr">
        <is>
          <t>HISPANIC</t>
        </is>
      </c>
      <c r="G194" t="inlineStr"/>
      <c r="H194" t="inlineStr">
        <is>
          <t>85</t>
        </is>
      </c>
      <c r="I194" t="inlineStr">
        <is>
          <t>68</t>
        </is>
      </c>
      <c r="J194" t="inlineStr"/>
      <c r="K194" t="inlineStr"/>
      <c r="L194" t="inlineStr"/>
      <c r="M194" t="inlineStr"/>
      <c r="N194" t="inlineStr">
        <is>
          <t>1</t>
        </is>
      </c>
      <c r="O194" t="inlineStr">
        <is>
          <t>9</t>
        </is>
      </c>
      <c r="P194" t="inlineStr">
        <is>
          <t>0</t>
        </is>
      </c>
      <c r="Q194" t="inlineStr">
        <is>
          <t>3277</t>
        </is>
      </c>
      <c r="R194" t="inlineStr">
        <is>
          <t>0</t>
        </is>
      </c>
      <c r="S194" t="inlineStr">
        <is>
          <t>0</t>
        </is>
      </c>
      <c r="T194" t="inlineStr"/>
      <c r="U194" t="inlineStr"/>
      <c r="V194" t="inlineStr">
        <is>
          <t>41 YO M WHILE AT GYM RUNNING ON TREADMILL FELT DIZZY TAKES LISINOPRIL FEELS THIS HAPPENS WHEN HE TAKES IT DX NEAR SYNCOPE LIKELY VASOVAGAL</t>
        </is>
      </c>
      <c r="W194" t="inlineStr">
        <is>
          <t>L</t>
        </is>
      </c>
      <c r="X194" t="inlineStr">
        <is>
          <t>51</t>
        </is>
      </c>
      <c r="Y194" t="inlineStr">
        <is>
          <t>72.849</t>
        </is>
      </c>
      <c r="Z194" t="n">
        <v>0</v>
      </c>
      <c r="AA194" t="n">
        <v>0</v>
      </c>
      <c r="AB194" t="inlineStr">
        <is>
          <t>No mention of vitamins or supplements, only medication (Lisinopril) and a medical condition.</t>
        </is>
      </c>
    </row>
    <row r="195">
      <c r="A195" t="inlineStr">
        <is>
          <t>100302857</t>
        </is>
      </c>
      <c r="B195" t="inlineStr">
        <is>
          <t>2010-02-24 00:00:00</t>
        </is>
      </c>
      <c r="C195" t="inlineStr">
        <is>
          <t>4</t>
        </is>
      </c>
      <c r="D195" t="inlineStr">
        <is>
          <t>2</t>
        </is>
      </c>
      <c r="E195" t="inlineStr">
        <is>
          <t>1</t>
        </is>
      </c>
      <c r="F195" t="inlineStr"/>
      <c r="G195" t="inlineStr"/>
      <c r="H195" t="inlineStr">
        <is>
          <t>85</t>
        </is>
      </c>
      <c r="I195" t="inlineStr">
        <is>
          <t>68</t>
        </is>
      </c>
      <c r="J195" t="inlineStr"/>
      <c r="K195" t="inlineStr"/>
      <c r="L195" t="inlineStr"/>
      <c r="M195" t="inlineStr"/>
      <c r="N195" t="inlineStr">
        <is>
          <t>1</t>
        </is>
      </c>
      <c r="O195" t="inlineStr">
        <is>
          <t>1</t>
        </is>
      </c>
      <c r="P195" t="inlineStr">
        <is>
          <t>0</t>
        </is>
      </c>
      <c r="Q195" t="inlineStr">
        <is>
          <t>1927</t>
        </is>
      </c>
      <c r="R195" t="inlineStr">
        <is>
          <t>0</t>
        </is>
      </c>
      <c r="S195" t="inlineStr">
        <is>
          <t>0</t>
        </is>
      </c>
      <c r="T195" t="inlineStr"/>
      <c r="U195" t="inlineStr"/>
      <c r="V195" t="inlineStr">
        <is>
          <t>4YOF TOOK UNKNOWN AMOUNT OF *** AT HOME AND FED SOME TO HER BROTHER ACCIDENTAL OVERDOSE</t>
        </is>
      </c>
      <c r="W195" t="inlineStr">
        <is>
          <t>M</t>
        </is>
      </c>
      <c r="X195" t="inlineStr">
        <is>
          <t>30</t>
        </is>
      </c>
      <c r="Y195" t="inlineStr">
        <is>
          <t>76.6154</t>
        </is>
      </c>
      <c r="Z195" t="n">
        <v>1</v>
      </c>
      <c r="AA195" t="n">
        <v>0</v>
      </c>
      <c r="AB195" t="inlineStr">
        <is>
          <t>No explicit mention of vitamin or dietary supplement; ingestion is unknown substance.</t>
        </is>
      </c>
    </row>
    <row r="196">
      <c r="A196" t="inlineStr">
        <is>
          <t>140215248</t>
        </is>
      </c>
      <c r="B196" t="inlineStr">
        <is>
          <t>2014-02-05 00:00:00</t>
        </is>
      </c>
      <c r="C196" t="inlineStr">
        <is>
          <t>212</t>
        </is>
      </c>
      <c r="D196" t="inlineStr">
        <is>
          <t>2</t>
        </is>
      </c>
      <c r="E196" t="inlineStr">
        <is>
          <t>1</t>
        </is>
      </c>
      <c r="F196" t="inlineStr"/>
      <c r="G196" t="inlineStr"/>
      <c r="H196" t="inlineStr">
        <is>
          <t>85</t>
        </is>
      </c>
      <c r="I196" t="inlineStr">
        <is>
          <t>68</t>
        </is>
      </c>
      <c r="J196" t="inlineStr"/>
      <c r="K196" t="inlineStr"/>
      <c r="L196" t="inlineStr"/>
      <c r="M196" t="inlineStr"/>
      <c r="N196" t="inlineStr">
        <is>
          <t>1</t>
        </is>
      </c>
      <c r="O196" t="inlineStr">
        <is>
          <t>1</t>
        </is>
      </c>
      <c r="P196" t="inlineStr">
        <is>
          <t>0</t>
        </is>
      </c>
      <c r="Q196" t="inlineStr">
        <is>
          <t>945</t>
        </is>
      </c>
      <c r="R196" t="inlineStr">
        <is>
          <t>474</t>
        </is>
      </c>
      <c r="S196" t="inlineStr">
        <is>
          <t>0</t>
        </is>
      </c>
      <c r="T196" t="inlineStr"/>
      <c r="U196" t="inlineStr"/>
      <c r="V196" t="inlineStr">
        <is>
          <t>1 YOF POSSIBLE *** INGESTION. MOTHER DUMPED *** DOWN SINK. SPLASHED ONDISHED. ATE OFF PLPATE. DX: POSSIBLE SMALL AMT *** INGESTI</t>
        </is>
      </c>
      <c r="W196" t="inlineStr">
        <is>
          <t>S</t>
        </is>
      </c>
      <c r="X196" t="inlineStr">
        <is>
          <t>86</t>
        </is>
      </c>
      <c r="Y196" t="inlineStr">
        <is>
          <t>80.0213</t>
        </is>
      </c>
      <c r="Z196" t="n">
        <v>0</v>
      </c>
      <c r="AA196" t="n">
        <v>0</v>
      </c>
      <c r="AB196" t="inlineStr">
        <is>
          <t>No explicit mention of a vitamin or supplement, and ingestion alone does not imply label=1.</t>
        </is>
      </c>
    </row>
    <row r="197">
      <c r="A197" t="inlineStr">
        <is>
          <t>120209885</t>
        </is>
      </c>
      <c r="B197" t="inlineStr">
        <is>
          <t>2012-01-30 00:00:00</t>
        </is>
      </c>
      <c r="C197" t="inlineStr">
        <is>
          <t>222</t>
        </is>
      </c>
      <c r="D197" t="inlineStr">
        <is>
          <t>2</t>
        </is>
      </c>
      <c r="E197" t="inlineStr">
        <is>
          <t>1</t>
        </is>
      </c>
      <c r="F197" t="inlineStr"/>
      <c r="G197" t="inlineStr"/>
      <c r="H197" t="inlineStr">
        <is>
          <t>85</t>
        </is>
      </c>
      <c r="I197" t="inlineStr">
        <is>
          <t>68</t>
        </is>
      </c>
      <c r="J197" t="inlineStr"/>
      <c r="K197" t="inlineStr"/>
      <c r="L197" t="inlineStr"/>
      <c r="M197" t="inlineStr"/>
      <c r="N197" t="inlineStr">
        <is>
          <t>1</t>
        </is>
      </c>
      <c r="O197" t="inlineStr">
        <is>
          <t>1</t>
        </is>
      </c>
      <c r="P197" t="inlineStr">
        <is>
          <t>0</t>
        </is>
      </c>
      <c r="Q197" t="inlineStr">
        <is>
          <t>1931</t>
        </is>
      </c>
      <c r="R197" t="inlineStr">
        <is>
          <t>0</t>
        </is>
      </c>
      <c r="S197" t="inlineStr">
        <is>
          <t>0</t>
        </is>
      </c>
      <c r="T197" t="inlineStr"/>
      <c r="U197" t="inlineStr"/>
      <c r="V197" t="inlineStr">
        <is>
          <t>22 MOF TOOK A PILL *** AT HOMEDX/ INGESTION</t>
        </is>
      </c>
      <c r="W197" t="inlineStr">
        <is>
          <t>L</t>
        </is>
      </c>
      <c r="X197" t="inlineStr">
        <is>
          <t>42</t>
        </is>
      </c>
      <c r="Y197" t="inlineStr">
        <is>
          <t>62.7866</t>
        </is>
      </c>
      <c r="Z197" t="n">
        <v>1</v>
      </c>
      <c r="AA197" t="n">
        <v>0</v>
      </c>
      <c r="AB197" t="inlineStr">
        <is>
          <t>No explicit mention of vitamin or dietary supplement; ingestion alone does not imply label=1.</t>
        </is>
      </c>
    </row>
    <row r="198">
      <c r="A198" t="inlineStr">
        <is>
          <t>110604050</t>
        </is>
      </c>
      <c r="B198" t="inlineStr">
        <is>
          <t>2011-05-27 00:00:00</t>
        </is>
      </c>
      <c r="C198" t="inlineStr">
        <is>
          <t>77</t>
        </is>
      </c>
      <c r="D198" t="inlineStr">
        <is>
          <t>1</t>
        </is>
      </c>
      <c r="E198" t="inlineStr">
        <is>
          <t>1</t>
        </is>
      </c>
      <c r="F198" t="inlineStr"/>
      <c r="G198" t="inlineStr"/>
      <c r="H198" t="inlineStr">
        <is>
          <t>85</t>
        </is>
      </c>
      <c r="I198" t="inlineStr">
        <is>
          <t>68</t>
        </is>
      </c>
      <c r="J198" t="inlineStr"/>
      <c r="K198" t="inlineStr"/>
      <c r="L198" t="inlineStr"/>
      <c r="M198" t="inlineStr"/>
      <c r="N198" t="inlineStr">
        <is>
          <t>4</t>
        </is>
      </c>
      <c r="O198" t="inlineStr">
        <is>
          <t>0</t>
        </is>
      </c>
      <c r="P198" t="inlineStr">
        <is>
          <t>0</t>
        </is>
      </c>
      <c r="Q198" t="inlineStr">
        <is>
          <t>1807</t>
        </is>
      </c>
      <c r="R198" t="inlineStr">
        <is>
          <t>0</t>
        </is>
      </c>
      <c r="S198" t="inlineStr">
        <is>
          <t>0</t>
        </is>
      </c>
      <c r="T198" t="inlineStr"/>
      <c r="U198" t="inlineStr"/>
      <c r="V198" t="inlineStr">
        <is>
          <t>77YOM FELL TO FLOOR UNRESPONSIVE AFTER TAKING *** HYPOGLYCEMIA</t>
        </is>
      </c>
      <c r="W198" t="inlineStr">
        <is>
          <t>M</t>
        </is>
      </c>
      <c r="X198" t="inlineStr">
        <is>
          <t>30</t>
        </is>
      </c>
      <c r="Y198" t="inlineStr">
        <is>
          <t>74.5118</t>
        </is>
      </c>
      <c r="Z198" t="n">
        <v>0</v>
      </c>
      <c r="AA198" t="n">
        <v>0</v>
      </c>
      <c r="AB198" t="inlineStr">
        <is>
          <t>Hypoglycemia medication is not a vitamin or dietary supplement, and the narrative does not mention any vitamin/supplement.</t>
        </is>
      </c>
    </row>
    <row r="199">
      <c r="A199" t="inlineStr">
        <is>
          <t>220504672</t>
        </is>
      </c>
      <c r="B199" t="inlineStr">
        <is>
          <t>2022-04-26 00:00:00</t>
        </is>
      </c>
      <c r="C199" t="inlineStr">
        <is>
          <t>57</t>
        </is>
      </c>
      <c r="D199" t="inlineStr">
        <is>
          <t>1</t>
        </is>
      </c>
      <c r="E199" t="inlineStr">
        <is>
          <t>1</t>
        </is>
      </c>
      <c r="F199" t="inlineStr"/>
      <c r="G199" t="inlineStr">
        <is>
          <t>2</t>
        </is>
      </c>
      <c r="H199" t="inlineStr">
        <is>
          <t>85</t>
        </is>
      </c>
      <c r="I199" t="inlineStr">
        <is>
          <t>68</t>
        </is>
      </c>
      <c r="J199" t="inlineStr"/>
      <c r="K199" t="inlineStr">
        <is>
          <t>87</t>
        </is>
      </c>
      <c r="L199" t="inlineStr">
        <is>
          <t>71</t>
        </is>
      </c>
      <c r="M199" t="inlineStr">
        <is>
          <t>NO INJ</t>
        </is>
      </c>
      <c r="N199" t="inlineStr">
        <is>
          <t>1</t>
        </is>
      </c>
      <c r="O199" t="inlineStr">
        <is>
          <t>5</t>
        </is>
      </c>
      <c r="P199" t="inlineStr">
        <is>
          <t>0</t>
        </is>
      </c>
      <c r="Q199" t="inlineStr">
        <is>
          <t>1842</t>
        </is>
      </c>
      <c r="R199" t="inlineStr">
        <is>
          <t>0</t>
        </is>
      </c>
      <c r="S199" t="inlineStr">
        <is>
          <t>0</t>
        </is>
      </c>
      <c r="T199" t="inlineStr">
        <is>
          <t>1</t>
        </is>
      </c>
      <c r="U199" t="inlineStr">
        <is>
          <t>0</t>
        </is>
      </c>
      <c r="V199" t="inlineStr">
        <is>
          <t>57 YOM SLIPPED DOWN TEN WET STEPS INTOXICATED WITH NO BAL   DX:  ALCOHOL INTOXICATION, NO INJ</t>
        </is>
      </c>
      <c r="W199" t="inlineStr">
        <is>
          <t>V</t>
        </is>
      </c>
      <c r="X199" t="inlineStr">
        <is>
          <t>38</t>
        </is>
      </c>
      <c r="Y199" t="inlineStr">
        <is>
          <t>17.2223</t>
        </is>
      </c>
      <c r="Z199" t="n">
        <v>0</v>
      </c>
      <c r="AA199" t="n">
        <v>0</v>
      </c>
      <c r="AB199" t="inlineStr">
        <is>
          <t>No mention of vitamins or supplements.</t>
        </is>
      </c>
    </row>
    <row r="200">
      <c r="A200" t="inlineStr">
        <is>
          <t>80522083</t>
        </is>
      </c>
      <c r="B200" t="inlineStr">
        <is>
          <t>2008-05-04 00:00:00</t>
        </is>
      </c>
      <c r="C200" t="inlineStr">
        <is>
          <t>222</t>
        </is>
      </c>
      <c r="D200" t="inlineStr">
        <is>
          <t>1</t>
        </is>
      </c>
      <c r="E200" t="inlineStr">
        <is>
          <t>1</t>
        </is>
      </c>
      <c r="F200" t="inlineStr"/>
      <c r="G200" t="inlineStr"/>
      <c r="H200" t="inlineStr">
        <is>
          <t>85</t>
        </is>
      </c>
      <c r="I200" t="inlineStr">
        <is>
          <t>68</t>
        </is>
      </c>
      <c r="J200" t="inlineStr"/>
      <c r="K200" t="inlineStr"/>
      <c r="L200" t="inlineStr"/>
      <c r="M200" t="inlineStr"/>
      <c r="N200" t="inlineStr">
        <is>
          <t>1</t>
        </is>
      </c>
      <c r="O200" t="inlineStr">
        <is>
          <t>1</t>
        </is>
      </c>
      <c r="P200" t="inlineStr">
        <is>
          <t>0</t>
        </is>
      </c>
      <c r="Q200" t="inlineStr">
        <is>
          <t>1931</t>
        </is>
      </c>
      <c r="R200" t="inlineStr">
        <is>
          <t>0</t>
        </is>
      </c>
      <c r="S200" t="inlineStr">
        <is>
          <t>0</t>
        </is>
      </c>
      <c r="T200" t="inlineStr"/>
      <c r="U200" t="inlineStr"/>
      <c r="V200" t="inlineStr">
        <is>
          <t>INGESTED 14 25 MG *** PILLS;DX POISONING</t>
        </is>
      </c>
      <c r="W200" t="inlineStr">
        <is>
          <t>C</t>
        </is>
      </c>
      <c r="X200" t="inlineStr">
        <is>
          <t>20</t>
        </is>
      </c>
      <c r="Y200" t="inlineStr">
        <is>
          <t>6.527</t>
        </is>
      </c>
      <c r="Z200" t="n">
        <v>1</v>
      </c>
      <c r="AA200" t="n">
        <v>0</v>
      </c>
      <c r="AB200" t="inlineStr">
        <is>
          <t>Mentions '*** pills' which does not specify a vitamin/supplement, and no iron is mentioned but the formulation is unknown.</t>
        </is>
      </c>
    </row>
    <row r="201">
      <c r="A201" t="inlineStr">
        <is>
          <t>200416368</t>
        </is>
      </c>
      <c r="B201" t="inlineStr">
        <is>
          <t>2020-04-06 00:00:00</t>
        </is>
      </c>
      <c r="C201" t="inlineStr">
        <is>
          <t>2</t>
        </is>
      </c>
      <c r="D201" t="inlineStr">
        <is>
          <t>1</t>
        </is>
      </c>
      <c r="E201" t="inlineStr">
        <is>
          <t>1</t>
        </is>
      </c>
      <c r="F201" t="inlineStr"/>
      <c r="G201" t="inlineStr">
        <is>
          <t>0</t>
        </is>
      </c>
      <c r="H201" t="inlineStr">
        <is>
          <t>85</t>
        </is>
      </c>
      <c r="I201" t="inlineStr">
        <is>
          <t>68</t>
        </is>
      </c>
      <c r="J201" t="inlineStr"/>
      <c r="K201" t="inlineStr"/>
      <c r="L201" t="inlineStr"/>
      <c r="M201" t="inlineStr"/>
      <c r="N201" t="inlineStr">
        <is>
          <t>1</t>
        </is>
      </c>
      <c r="O201" t="inlineStr">
        <is>
          <t>1</t>
        </is>
      </c>
      <c r="P201" t="inlineStr">
        <is>
          <t>0</t>
        </is>
      </c>
      <c r="Q201" t="inlineStr">
        <is>
          <t>1932</t>
        </is>
      </c>
      <c r="R201" t="inlineStr">
        <is>
          <t>1127</t>
        </is>
      </c>
      <c r="S201" t="inlineStr">
        <is>
          <t>0</t>
        </is>
      </c>
      <c r="T201" t="inlineStr">
        <is>
          <t>0</t>
        </is>
      </c>
      <c r="U201" t="inlineStr">
        <is>
          <t>1</t>
        </is>
      </c>
      <c r="V201" t="inlineStr">
        <is>
          <t>2 YOM DRANK BOTTLE OF *** OPTHALMIC SOLUTION APPX 2.8CC/.025% IS ASYMPTOMATIC DX INGESTION OF A SUBSTANCE</t>
        </is>
      </c>
      <c r="W201" t="inlineStr">
        <is>
          <t>C</t>
        </is>
      </c>
      <c r="X201" t="inlineStr">
        <is>
          <t>32</t>
        </is>
      </c>
      <c r="Y201" t="inlineStr">
        <is>
          <t>4.851</t>
        </is>
      </c>
      <c r="Z201" t="n">
        <v>1</v>
      </c>
      <c r="AA201" t="n">
        <v>0</v>
      </c>
      <c r="AB201" t="inlineStr">
        <is>
          <t>Mentions 'OPTHALMIC SOLUTION' which is a medication, not a supplement.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2026-04-02T10:30:51Z</dcterms:created>
  <dcterms:modified xsi:type="dcterms:W3CDTF">2026-04-02T10:30:51Z</dcterms:modified>
</cp:coreProperties>
</file>